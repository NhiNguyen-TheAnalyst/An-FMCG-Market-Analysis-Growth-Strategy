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0640" windowHeight="11160" activeTab="2"/>
  </bookViews>
  <sheets>
    <sheet name="Abbreviation" sheetId="7" r:id="rId1"/>
    <sheet name="Background and Question" sheetId="6" r:id="rId2"/>
    <sheet name="Data Set 1" sheetId="1" r:id="rId3"/>
    <sheet name="Data Set 2" sheetId="2" r:id="rId4"/>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8" i="2" l="1"/>
  <c r="S7" i="2"/>
  <c r="S6" i="2"/>
  <c r="S5" i="2"/>
  <c r="S4" i="2"/>
  <c r="S3" i="2"/>
  <c r="AD58" i="1"/>
  <c r="AD59" i="1"/>
  <c r="AD60" i="1"/>
  <c r="AD61" i="1"/>
  <c r="AD57" i="1"/>
  <c r="AC62" i="1"/>
  <c r="Y58" i="1"/>
  <c r="Y59" i="1"/>
  <c r="Y60" i="1"/>
  <c r="Y61" i="1"/>
  <c r="Y57" i="1"/>
  <c r="X62" i="1"/>
  <c r="C6" i="2"/>
  <c r="D6" i="2"/>
  <c r="E6" i="2"/>
  <c r="F6" i="2"/>
  <c r="G6" i="2"/>
  <c r="B6" i="2"/>
</calcChain>
</file>

<file path=xl/sharedStrings.xml><?xml version="1.0" encoding="utf-8"?>
<sst xmlns="http://schemas.openxmlformats.org/spreadsheetml/2006/main" count="459" uniqueCount="200">
  <si>
    <t xml:space="preserve">Category(thể loại) </t>
  </si>
  <si>
    <t>Fact Type ( loại thực tế )</t>
  </si>
  <si>
    <t>CSD</t>
  </si>
  <si>
    <t>Carbonated Soft Drink</t>
  </si>
  <si>
    <t>Volume/Value Sales</t>
  </si>
  <si>
    <t xml:space="preserve">c </t>
  </si>
  <si>
    <t>RTDT</t>
  </si>
  <si>
    <t>Ready To Drink Tea</t>
  </si>
  <si>
    <t>Volume/Value % Share</t>
  </si>
  <si>
    <t>Share of a brand/SKU on either total market or specific segment</t>
  </si>
  <si>
    <t>ED</t>
  </si>
  <si>
    <t>Energy Drink</t>
  </si>
  <si>
    <t>Volume/Value Growth vs. YA</t>
  </si>
  <si>
    <t>% sales change from certain period vs. same period last year</t>
  </si>
  <si>
    <t>SPO</t>
  </si>
  <si>
    <t>Sport Drinks</t>
  </si>
  <si>
    <t>Volume/Value % Share of Trade</t>
  </si>
  <si>
    <t>% sales from certain channels/ markets out of total business</t>
  </si>
  <si>
    <t>PW</t>
  </si>
  <si>
    <t>Packaged Water</t>
  </si>
  <si>
    <t>Numeric Distribution</t>
  </si>
  <si>
    <t>Represents the percentage of stores within the universe handling the product during the audit period</t>
  </si>
  <si>
    <t>JD</t>
  </si>
  <si>
    <t>Juice Drinks</t>
  </si>
  <si>
    <t>Weighted Distribution</t>
  </si>
  <si>
    <t>Represents the percentage of category turnover accounted for by those stores handling the product during the audit period</t>
  </si>
  <si>
    <t>Vol S.P.P.D</t>
  </si>
  <si>
    <t>Sales Per Point of Distribution - Rate of Sale</t>
  </si>
  <si>
    <t>Period</t>
  </si>
  <si>
    <t>Price Per Pack</t>
  </si>
  <si>
    <t>Average retail selling price to the consumer</t>
  </si>
  <si>
    <t>MAT</t>
  </si>
  <si>
    <t>Moving Annual Total (accumulated 12 months)</t>
  </si>
  <si>
    <t>Average Price</t>
  </si>
  <si>
    <t>Value Sales/ Volume Sales</t>
  </si>
  <si>
    <t>MAT TY</t>
  </si>
  <si>
    <t>MAT This Year</t>
  </si>
  <si>
    <t>Average Price Index vs. Category</t>
  </si>
  <si>
    <t>(Average Price of a product/ Average Price of Cateogry)*100</t>
  </si>
  <si>
    <t>MAT LY</t>
  </si>
  <si>
    <t>MAT Last Year</t>
  </si>
  <si>
    <t>MAT 2YA</t>
  </si>
  <si>
    <t>MAT 2 Years Ago</t>
  </si>
  <si>
    <t>Market Break Down</t>
  </si>
  <si>
    <t xml:space="preserve">Brand Leverage ( tận dụng) </t>
  </si>
  <si>
    <t>Urban + Rural</t>
  </si>
  <si>
    <t>TT Urban + TT Rural + MT Urban</t>
  </si>
  <si>
    <t>TOM</t>
  </si>
  <si>
    <t>Total Vietnam</t>
  </si>
  <si>
    <t>Spontaneous</t>
  </si>
  <si>
    <t>TT Urban</t>
  </si>
  <si>
    <t>Traditional Trade Urban</t>
  </si>
  <si>
    <t>Favourite</t>
  </si>
  <si>
    <t>TT Rural</t>
  </si>
  <si>
    <t>Traditional Trade Rural</t>
  </si>
  <si>
    <t>Total Awareness</t>
  </si>
  <si>
    <t>MT Urban</t>
  </si>
  <si>
    <t>Modern Trade Urban</t>
  </si>
  <si>
    <t>Past 3 Months usage</t>
  </si>
  <si>
    <t>6 CTs</t>
  </si>
  <si>
    <t>6 Key Cities in Urban (Hanoi, HCM, Haiphong, Cantho, Nhatrang, Danang)</t>
  </si>
  <si>
    <t>Past 1 Month usage</t>
  </si>
  <si>
    <t>4 CTs</t>
  </si>
  <si>
    <t>Haiphong, Cantho, Nhatrang, Danang</t>
  </si>
  <si>
    <t>Brand Use Most Often P3M</t>
  </si>
  <si>
    <t>North</t>
  </si>
  <si>
    <t>NE/NW + RRD</t>
  </si>
  <si>
    <t>Central</t>
  </si>
  <si>
    <t>NCC + CH + SCC</t>
  </si>
  <si>
    <t>South</t>
  </si>
  <si>
    <t>S.East + MKD</t>
  </si>
  <si>
    <t>NE/NW</t>
  </si>
  <si>
    <t>North East Nort West</t>
  </si>
  <si>
    <t>RRD</t>
  </si>
  <si>
    <t>Red River Delta</t>
  </si>
  <si>
    <t>NCC</t>
  </si>
  <si>
    <t>North Central Coast</t>
  </si>
  <si>
    <t>CH</t>
  </si>
  <si>
    <t>Central Highland</t>
  </si>
  <si>
    <t>SCC</t>
  </si>
  <si>
    <t>South Central Coast</t>
  </si>
  <si>
    <t>SE</t>
  </si>
  <si>
    <t>Sout East</t>
  </si>
  <si>
    <t>MKD</t>
  </si>
  <si>
    <t>Mekong Delta</t>
  </si>
  <si>
    <t>Off Premise Channel</t>
  </si>
  <si>
    <r>
      <t xml:space="preserve">Is the sales channel where consumers </t>
    </r>
    <r>
      <rPr>
        <b/>
        <u/>
        <sz val="10"/>
        <color rgb="FF000000"/>
        <rFont val="Arial"/>
        <family val="2"/>
      </rPr>
      <t>do not</t>
    </r>
    <r>
      <rPr>
        <sz val="10"/>
        <color rgb="FF000000"/>
        <rFont val="Arial"/>
        <family val="2"/>
      </rPr>
      <t xml:space="preserve"> consume their purchased products at the same store they purchase them, e.g. Traditional Grocery Stores, Beverage Stores, Market Stall…</t>
    </r>
  </si>
  <si>
    <t>On Premise Channel</t>
  </si>
  <si>
    <r>
      <t xml:space="preserve">Is the sales channel where consumers </t>
    </r>
    <r>
      <rPr>
        <b/>
        <u/>
        <sz val="10"/>
        <color rgb="FF000000"/>
        <rFont val="Arial"/>
        <family val="2"/>
      </rPr>
      <t>do</t>
    </r>
    <r>
      <rPr>
        <sz val="10"/>
        <color rgb="FF000000"/>
        <rFont val="Arial"/>
        <family val="2"/>
      </rPr>
      <t xml:space="preserve"> consume their purchased products at the same store they purchase them, e.g. Restaurant, Coffee Shop, Eatery…</t>
    </r>
  </si>
  <si>
    <t>Background &amp; Question</t>
  </si>
  <si>
    <t>We are Action, a Japanese company, which has launched our Laundry products in Vietnam by exporting it from Thailand because we do not have manufacturing capability in Vietnam. Our product was being exported by entrepreneurs to Vietnam for over five years. In 2013, we noticed the business was getting big, so we decided to directly control the exports. In 2015, we also expanded modern trade stores. Since then we have been focused on managing the distribution, but now we need to decide on our future strategy – build up our export structure or build production facilities in Vietnam. Therefore, we need to know how much further we can grow to understand if it is worth investing in domestic production facilities, or continue distributing from Thailand.
Since 2013, the biggest competitor, Big Brand dominate the Laundry category. Action would like to know the strong and weak point of Big Brand and how to fight back effetively to become market leader.
Analyze where our key opportunities for growth by region, channel and product. Let us know what distribution we should target, which promotion we should conduct and what level is feasible to achieve in 1 year.
Finally, determine what our potential revenue will be in the next year. 
Your team will be Action's consultant to provide market insights and recommendations for Action business planning &amp; strategy
You will present your report on powerpoint file with maximum 30 slides and write your analysis in the "Notes".
Your report should be based on desk-research information and data provided in the data set. Besides, you can access other sources to refer some relevant information. Please cite the sources of information in each slide.</t>
  </si>
  <si>
    <t>FOR ACTION'S PORTFOLIO</t>
  </si>
  <si>
    <t>Value Sales ('Million VND)</t>
  </si>
  <si>
    <t xml:space="preserve"> </t>
  </si>
  <si>
    <t>Action's Portfolio Cross Categories</t>
  </si>
  <si>
    <t>Q1'13</t>
  </si>
  <si>
    <t>Q2'13</t>
  </si>
  <si>
    <t>Q3'13</t>
  </si>
  <si>
    <t>Q4'13</t>
  </si>
  <si>
    <t>Q1'14</t>
  </si>
  <si>
    <t>Q2'14</t>
  </si>
  <si>
    <t>Q3'14</t>
  </si>
  <si>
    <t>Q4'14</t>
  </si>
  <si>
    <t>Q1'15</t>
  </si>
  <si>
    <t>Q2'15</t>
  </si>
  <si>
    <t>Q3'15</t>
  </si>
  <si>
    <t>Q4'15</t>
  </si>
  <si>
    <t>Action Laundry</t>
  </si>
  <si>
    <t>Action Teeth</t>
  </si>
  <si>
    <t>Action Skin</t>
  </si>
  <si>
    <t>Action Dish</t>
  </si>
  <si>
    <t>Action Face</t>
  </si>
  <si>
    <t>Action Hair</t>
  </si>
  <si>
    <t>FOR LAUNDRY</t>
  </si>
  <si>
    <t>Value % Share</t>
  </si>
  <si>
    <t xml:space="preserve"> Brands in Laundry</t>
  </si>
  <si>
    <t>Action</t>
  </si>
  <si>
    <t>Big</t>
  </si>
  <si>
    <t>Cheapo</t>
  </si>
  <si>
    <t>Dirtygone</t>
  </si>
  <si>
    <t>Extreme</t>
  </si>
  <si>
    <t>Value % Share of Trade</t>
  </si>
  <si>
    <t>Value Share of Trade</t>
  </si>
  <si>
    <t>TT Off NE/NW Rural</t>
  </si>
  <si>
    <t>TT Off RRD Rural</t>
  </si>
  <si>
    <t>TT Off NCC Rural</t>
  </si>
  <si>
    <t>TT Off CH Rural</t>
  </si>
  <si>
    <t>TT Off SCC Rural</t>
  </si>
  <si>
    <t>TT Off SE Rural</t>
  </si>
  <si>
    <t>TT Off MKD Rural</t>
  </si>
  <si>
    <t>TT Off NE/NW Urban</t>
  </si>
  <si>
    <t>TT Off RRD Urban</t>
  </si>
  <si>
    <t>TT Off NCC Urban</t>
  </si>
  <si>
    <t>TT Off CH Urban</t>
  </si>
  <si>
    <t>TT Off SCC Urban</t>
  </si>
  <si>
    <t>TT Off SE Urban</t>
  </si>
  <si>
    <t>TT Off MKD Urban</t>
  </si>
  <si>
    <t>Value % Share - Total Vietnam</t>
  </si>
  <si>
    <t>BRAND</t>
  </si>
  <si>
    <t>PACKSIZE</t>
  </si>
  <si>
    <t>100</t>
  </si>
  <si>
    <t>360</t>
  </si>
  <si>
    <t>NA</t>
  </si>
  <si>
    <t>2400</t>
  </si>
  <si>
    <t>1200</t>
  </si>
  <si>
    <t>4100</t>
  </si>
  <si>
    <t>2200</t>
  </si>
  <si>
    <t>260</t>
  </si>
  <si>
    <t>2700</t>
  </si>
  <si>
    <t>720</t>
  </si>
  <si>
    <t>250</t>
  </si>
  <si>
    <t>300</t>
  </si>
  <si>
    <t>3000</t>
  </si>
  <si>
    <t>1500</t>
  </si>
  <si>
    <t>3800</t>
  </si>
  <si>
    <t>400</t>
  </si>
  <si>
    <t>4000</t>
  </si>
  <si>
    <t>4500</t>
  </si>
  <si>
    <t>550</t>
  </si>
  <si>
    <t>560</t>
  </si>
  <si>
    <t>5500</t>
  </si>
  <si>
    <t>6000</t>
  </si>
  <si>
    <t>600</t>
  </si>
  <si>
    <t>800</t>
  </si>
  <si>
    <t>90</t>
  </si>
  <si>
    <t>BASESIZE</t>
  </si>
  <si>
    <t>Total Vietnam - Average Price Index vs Category</t>
  </si>
  <si>
    <t>Total Vietnam - Price Per Pack</t>
  </si>
  <si>
    <t>PACKSIZE (g)</t>
  </si>
  <si>
    <t>Total Laundry</t>
  </si>
  <si>
    <t>Total Action</t>
  </si>
  <si>
    <t>-Action Scented Powder</t>
  </si>
  <si>
    <t>-Action Regular Powder</t>
  </si>
  <si>
    <t>Total Big</t>
  </si>
  <si>
    <t>-Big Baby Liquid</t>
  </si>
  <si>
    <t>-Big Scented Liquid</t>
  </si>
  <si>
    <t>-Big Regular Liquid</t>
  </si>
  <si>
    <t>-Big Regular Powder</t>
  </si>
  <si>
    <t>-Big Scented Powder</t>
  </si>
  <si>
    <t>-Big Baby Powder</t>
  </si>
  <si>
    <t>Volume Sales in Units of Action - Total Vietnam</t>
  </si>
  <si>
    <t xml:space="preserve">Promo items: </t>
  </si>
  <si>
    <t>Action 800g</t>
  </si>
  <si>
    <t>Action 3kg</t>
  </si>
  <si>
    <t>Action 4.5kg</t>
  </si>
  <si>
    <t>Aug'14</t>
  </si>
  <si>
    <t>Sep'14</t>
  </si>
  <si>
    <t>Total Items</t>
  </si>
  <si>
    <t>Items which have promotion</t>
  </si>
  <si>
    <t>Feedback from Retailers on Action Promotion</t>
  </si>
  <si>
    <t>There’s a basket promotion when buying from 800g up</t>
  </si>
  <si>
    <t>Many customers request Action in Sep’14, I introduced it because I participate in a display program,
 and I purchased a lot because of big trade discount</t>
  </si>
  <si>
    <t>I purchase only when I’m OOS. Some months it sells, some months it doesn’t</t>
  </si>
  <si>
    <t>Big's Items which have promotion</t>
  </si>
  <si>
    <t>In Home Usage Study Result:</t>
  </si>
  <si>
    <t xml:space="preserve"> using value share and value sales of Action can infer total VN value sales</t>
  </si>
  <si>
    <t>share of each packsize out of total sales of whole category</t>
  </si>
  <si>
    <t>can infer MT urban of Big and Action using this share of trade cuz we already have TT Rural and TT Urban and, in abbreviation table, total VN equal to these 3 groups</t>
  </si>
  <si>
    <t>share of each  brand in the selected region, for ex, TT NE/NW Rural is made of Action, Big, etc.</t>
  </si>
  <si>
    <t>Others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</si>
</sst>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0.0;\-#,##0.0"/>
    <numFmt numFmtId="165" formatCode="#,##0.0"/>
    <numFmt numFmtId="166" formatCode="###0;\-###0"/>
    <numFmt numFmtId="168" formatCode="#,##0.000;\-#,##0.000"/>
    <numFmt numFmtId="171" formatCode="0.0%"/>
  </numFmts>
  <fonts count="36">
    <font>
      <sz val="11"/>
      <color theme="1"/>
      <name val="Calibri"/>
      <family val="2"/>
      <scheme val="minor"/>
    </font>
    <font>
      <sz val="11"/>
      <color theme="1"/>
      <name val="Calibri"/>
      <family val="2"/>
      <scheme val="minor"/>
    </font>
    <font>
      <b/>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sz val="8"/>
      <color indexed="8"/>
      <name val="Arial"/>
      <family val="2"/>
    </font>
    <font>
      <b/>
      <sz val="8"/>
      <color indexed="8"/>
      <name val="Arial"/>
      <family val="2"/>
    </font>
    <font>
      <b/>
      <sz val="10"/>
      <color indexed="12"/>
      <name val="Arial"/>
      <family val="2"/>
    </font>
    <font>
      <b/>
      <sz val="8"/>
      <color indexed="9"/>
      <name val="Arial"/>
      <family val="2"/>
    </font>
    <font>
      <sz val="8"/>
      <color indexed="9"/>
      <name val="Arial"/>
      <family val="2"/>
    </font>
    <font>
      <sz val="11"/>
      <name val="Calibri"/>
      <family val="2"/>
      <scheme val="minor"/>
    </font>
    <font>
      <sz val="11"/>
      <color theme="1"/>
      <name val="Calibri"/>
      <family val="2"/>
    </font>
    <font>
      <b/>
      <sz val="10"/>
      <name val="Arial"/>
      <family val="2"/>
    </font>
    <font>
      <sz val="12"/>
      <name val="Calibri"/>
      <family val="2"/>
    </font>
    <font>
      <sz val="10"/>
      <color rgb="FF000000"/>
      <name val="Arial"/>
      <family val="2"/>
    </font>
    <font>
      <b/>
      <sz val="10"/>
      <color rgb="FF000000"/>
      <name val="Arial"/>
      <family val="2"/>
    </font>
    <font>
      <b/>
      <sz val="11"/>
      <name val="Calibri"/>
      <family val="2"/>
      <charset val="163"/>
    </font>
    <font>
      <b/>
      <u/>
      <sz val="10"/>
      <color rgb="FF000000"/>
      <name val="Arial"/>
      <family val="2"/>
    </font>
    <font>
      <b/>
      <sz val="10"/>
      <color theme="0"/>
      <name val="Arial"/>
      <family val="2"/>
    </font>
    <font>
      <b/>
      <sz val="12"/>
      <color rgb="FFFFFFFF"/>
      <name val="Roboto"/>
    </font>
    <font>
      <b/>
      <sz val="12"/>
      <color rgb="FF000000"/>
      <name val="Roboto"/>
    </font>
    <font>
      <sz val="12"/>
      <color rgb="FF000000"/>
      <name val="Roboto"/>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bgColor indexed="64"/>
      </patternFill>
    </fill>
    <fill>
      <patternFill patternType="solid">
        <fgColor rgb="FF538DD5"/>
        <bgColor rgb="FF000000"/>
      </patternFill>
    </fill>
    <fill>
      <patternFill patternType="solid">
        <fgColor rgb="FFF79646"/>
        <bgColor rgb="FF000000"/>
      </patternFill>
    </fill>
    <fill>
      <patternFill patternType="solid">
        <fgColor rgb="FF8064A2"/>
        <bgColor rgb="FF000000"/>
      </patternFill>
    </fill>
    <fill>
      <patternFill patternType="solid">
        <fgColor rgb="FF9BBB59"/>
        <bgColor rgb="FF000000"/>
      </patternFill>
    </fill>
    <fill>
      <patternFill patternType="solid">
        <fgColor rgb="FFC0504D"/>
        <bgColor rgb="FF000000"/>
      </patternFill>
    </fill>
    <fill>
      <patternFill patternType="solid">
        <fgColor rgb="FFFFFF00"/>
        <bgColor indexed="64"/>
      </patternFill>
    </fill>
    <fill>
      <patternFill patternType="solid">
        <fgColor rgb="FF854EBE"/>
        <bgColor indexed="64"/>
      </patternFill>
    </fill>
    <fill>
      <patternFill patternType="solid">
        <fgColor rgb="FFE7DCF2"/>
        <bgColor indexed="64"/>
      </patternFill>
    </fill>
    <fill>
      <patternFill patternType="solid">
        <fgColor rgb="FF2A62AD"/>
        <bgColor indexed="64"/>
      </patternFill>
    </fill>
    <fill>
      <patternFill patternType="solid">
        <fgColor rgb="FFDFEBFA"/>
        <bgColor indexed="64"/>
      </patternFill>
    </fill>
  </fills>
  <borders count="4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rgb="FFC0C0C1"/>
      </right>
      <top/>
      <bottom/>
      <diagonal/>
    </border>
    <border>
      <left style="medium">
        <color indexed="64"/>
      </left>
      <right style="thin">
        <color rgb="FFC0C0C1"/>
      </right>
      <top style="medium">
        <color indexed="64"/>
      </top>
      <bottom style="medium">
        <color indexed="64"/>
      </bottom>
      <diagonal/>
    </border>
    <border>
      <left/>
      <right style="thin">
        <color rgb="FFC0C0C1"/>
      </right>
      <top style="medium">
        <color indexed="64"/>
      </top>
      <bottom style="medium">
        <color indexed="64"/>
      </bottom>
      <diagonal/>
    </border>
    <border>
      <left style="medium">
        <color rgb="FFFFFFFF"/>
      </left>
      <right style="medium">
        <color rgb="FFFFFFFF"/>
      </right>
      <top style="medium">
        <color rgb="FFFFFFFF"/>
      </top>
      <bottom style="medium">
        <color rgb="FFFFFFFF"/>
      </bottom>
      <diagonal/>
    </border>
  </borders>
  <cellStyleXfs count="46">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5" fillId="0" borderId="0"/>
    <xf numFmtId="0" fontId="1" fillId="0" borderId="0"/>
    <xf numFmtId="43" fontId="1" fillId="0" borderId="0" applyFont="0" applyFill="0" applyBorder="0" applyAlignment="0" applyProtection="0"/>
  </cellStyleXfs>
  <cellXfs count="238">
    <xf numFmtId="0" fontId="0" fillId="0" borderId="0" xfId="0"/>
    <xf numFmtId="164" fontId="18" fillId="0" borderId="0" xfId="0" applyNumberFormat="1" applyFont="1" applyFill="1" applyBorder="1" applyAlignment="1">
      <alignment horizontal="right"/>
    </xf>
    <xf numFmtId="164" fontId="18" fillId="0" borderId="0" xfId="0" applyNumberFormat="1" applyFont="1" applyFill="1" applyBorder="1" applyAlignment="1">
      <alignment horizontal="right"/>
    </xf>
    <xf numFmtId="0" fontId="0" fillId="33" borderId="0" xfId="0" applyFill="1"/>
    <xf numFmtId="164" fontId="18" fillId="33" borderId="0" xfId="0" applyNumberFormat="1" applyFont="1" applyFill="1" applyBorder="1" applyAlignment="1">
      <alignment horizontal="right"/>
    </xf>
    <xf numFmtId="164" fontId="21" fillId="33" borderId="0" xfId="0" applyNumberFormat="1" applyFont="1" applyFill="1" applyBorder="1" applyAlignment="1">
      <alignment horizontal="center" vertical="center"/>
    </xf>
    <xf numFmtId="49" fontId="20" fillId="33" borderId="0" xfId="0" applyNumberFormat="1" applyFont="1" applyFill="1" applyBorder="1" applyAlignment="1">
      <alignment horizontal="left" vertical="center"/>
    </xf>
    <xf numFmtId="165" fontId="19" fillId="33" borderId="0" xfId="0" applyNumberFormat="1" applyFont="1" applyFill="1" applyBorder="1" applyAlignment="1">
      <alignment horizontal="center" wrapText="1"/>
    </xf>
    <xf numFmtId="9" fontId="24" fillId="33" borderId="0" xfId="1" applyFont="1" applyFill="1" applyBorder="1" applyAlignment="1">
      <alignment horizontal="right" vertical="center"/>
    </xf>
    <xf numFmtId="0" fontId="0" fillId="33" borderId="0" xfId="0" applyFill="1" applyAlignment="1"/>
    <xf numFmtId="49" fontId="17" fillId="35" borderId="0" xfId="43" applyNumberFormat="1" applyFont="1" applyFill="1" applyBorder="1" applyAlignment="1">
      <alignment horizontal="left" vertical="center"/>
    </xf>
    <xf numFmtId="165" fontId="19" fillId="0" borderId="0" xfId="0" applyNumberFormat="1" applyFont="1" applyFill="1" applyBorder="1" applyAlignment="1">
      <alignment horizontal="center" wrapText="1"/>
    </xf>
    <xf numFmtId="49" fontId="24" fillId="33" borderId="0" xfId="43" applyNumberFormat="1" applyFont="1" applyFill="1" applyBorder="1" applyAlignment="1">
      <alignment horizontal="left" vertical="center"/>
    </xf>
    <xf numFmtId="49" fontId="20" fillId="33" borderId="0" xfId="0" applyNumberFormat="1" applyFont="1" applyFill="1" applyBorder="1" applyAlignment="1">
      <alignment horizontal="left" vertical="center" wrapText="1"/>
    </xf>
    <xf numFmtId="49" fontId="22" fillId="34" borderId="0" xfId="0" applyNumberFormat="1" applyFont="1" applyFill="1" applyBorder="1" applyAlignment="1">
      <alignment horizontal="center" vertical="center" wrapText="1"/>
    </xf>
    <xf numFmtId="166" fontId="20" fillId="33" borderId="0" xfId="0" applyNumberFormat="1" applyFont="1" applyFill="1" applyBorder="1" applyAlignment="1">
      <alignment horizontal="left" vertical="center"/>
    </xf>
    <xf numFmtId="165" fontId="19" fillId="33" borderId="0" xfId="0" applyNumberFormat="1" applyFont="1" applyFill="1" applyBorder="1" applyAlignment="1">
      <alignment horizontal="center"/>
    </xf>
    <xf numFmtId="164" fontId="18" fillId="33" borderId="0" xfId="0" applyNumberFormat="1" applyFont="1" applyFill="1" applyBorder="1" applyAlignment="1">
      <alignment horizontal="left"/>
    </xf>
    <xf numFmtId="49" fontId="20" fillId="33" borderId="10" xfId="0" applyNumberFormat="1" applyFont="1" applyFill="1" applyBorder="1" applyAlignment="1">
      <alignment horizontal="left" vertical="center"/>
    </xf>
    <xf numFmtId="3" fontId="19" fillId="33" borderId="10" xfId="0" applyNumberFormat="1" applyFont="1" applyFill="1" applyBorder="1" applyAlignment="1">
      <alignment horizontal="center" wrapText="1"/>
    </xf>
    <xf numFmtId="165" fontId="19" fillId="0" borderId="10" xfId="0" applyNumberFormat="1" applyFont="1" applyFill="1" applyBorder="1" applyAlignment="1">
      <alignment horizontal="center" wrapText="1"/>
    </xf>
    <xf numFmtId="0" fontId="27" fillId="0" borderId="0" xfId="0" applyFont="1" applyFill="1" applyBorder="1" applyAlignment="1">
      <alignment horizontal="left" vertical="center" readingOrder="1"/>
    </xf>
    <xf numFmtId="164" fontId="28" fillId="0" borderId="0" xfId="0" applyNumberFormat="1" applyFont="1" applyFill="1" applyBorder="1" applyAlignment="1">
      <alignment horizontal="right"/>
    </xf>
    <xf numFmtId="164" fontId="28" fillId="0" borderId="13" xfId="0" applyNumberFormat="1" applyFont="1" applyFill="1" applyBorder="1" applyAlignment="1">
      <alignment horizontal="left" vertical="center"/>
    </xf>
    <xf numFmtId="164" fontId="28" fillId="0" borderId="14" xfId="0" applyNumberFormat="1" applyFont="1" applyFill="1" applyBorder="1" applyAlignment="1">
      <alignment horizontal="left" vertical="center"/>
    </xf>
    <xf numFmtId="164" fontId="28" fillId="0" borderId="15" xfId="0" applyNumberFormat="1" applyFont="1" applyFill="1" applyBorder="1" applyAlignment="1">
      <alignment horizontal="left" vertical="center"/>
    </xf>
    <xf numFmtId="164" fontId="28" fillId="0" borderId="16" xfId="0" applyNumberFormat="1" applyFont="1" applyFill="1" applyBorder="1" applyAlignment="1">
      <alignment horizontal="left" vertical="center"/>
    </xf>
    <xf numFmtId="164" fontId="28" fillId="0" borderId="17" xfId="0" applyNumberFormat="1" applyFont="1" applyFill="1" applyBorder="1" applyAlignment="1">
      <alignment horizontal="left" vertical="center"/>
    </xf>
    <xf numFmtId="164" fontId="28" fillId="0" borderId="18" xfId="0" applyNumberFormat="1" applyFont="1" applyFill="1" applyBorder="1" applyAlignment="1">
      <alignment horizontal="left" vertical="center"/>
    </xf>
    <xf numFmtId="164" fontId="28" fillId="0" borderId="19" xfId="0" applyNumberFormat="1" applyFont="1" applyFill="1" applyBorder="1" applyAlignment="1">
      <alignment horizontal="left" vertical="center"/>
    </xf>
    <xf numFmtId="164" fontId="28" fillId="0" borderId="20" xfId="0" applyNumberFormat="1" applyFont="1" applyFill="1" applyBorder="1" applyAlignment="1">
      <alignment horizontal="left" vertical="center"/>
    </xf>
    <xf numFmtId="164" fontId="28" fillId="0" borderId="21" xfId="0" applyNumberFormat="1" applyFont="1" applyFill="1" applyBorder="1" applyAlignment="1">
      <alignment horizontal="left" vertical="center"/>
    </xf>
    <xf numFmtId="164" fontId="28" fillId="0" borderId="0" xfId="0" applyNumberFormat="1" applyFont="1" applyFill="1" applyBorder="1" applyAlignment="1">
      <alignment horizontal="left"/>
    </xf>
    <xf numFmtId="164" fontId="29" fillId="41" borderId="22" xfId="0" applyNumberFormat="1" applyFont="1" applyFill="1" applyBorder="1" applyAlignment="1">
      <alignment horizontal="left" vertical="center"/>
    </xf>
    <xf numFmtId="164" fontId="29" fillId="41" borderId="23" xfId="0" applyNumberFormat="1" applyFont="1" applyFill="1" applyBorder="1" applyAlignment="1">
      <alignment horizontal="left" vertical="center"/>
    </xf>
    <xf numFmtId="164" fontId="28" fillId="0" borderId="24" xfId="0" applyNumberFormat="1" applyFont="1" applyFill="1" applyBorder="1" applyAlignment="1">
      <alignment horizontal="left" vertical="center"/>
    </xf>
    <xf numFmtId="0" fontId="25" fillId="0" borderId="0" xfId="0" applyFont="1" applyFill="1" applyBorder="1"/>
    <xf numFmtId="164" fontId="28" fillId="0" borderId="25" xfId="0" applyNumberFormat="1" applyFont="1" applyFill="1" applyBorder="1" applyAlignment="1">
      <alignment horizontal="left" vertical="center"/>
    </xf>
    <xf numFmtId="0" fontId="30" fillId="43" borderId="26" xfId="0" applyFont="1" applyFill="1" applyBorder="1"/>
    <xf numFmtId="164" fontId="28" fillId="0" borderId="13" xfId="0" applyNumberFormat="1" applyFont="1" applyFill="1" applyBorder="1" applyAlignment="1">
      <alignment horizontal="left" vertical="center" wrapText="1"/>
    </xf>
    <xf numFmtId="164" fontId="28" fillId="0" borderId="14" xfId="0" applyNumberFormat="1" applyFont="1" applyFill="1" applyBorder="1" applyAlignment="1">
      <alignment horizontal="left" vertical="center" wrapText="1"/>
    </xf>
    <xf numFmtId="164" fontId="28" fillId="0" borderId="18" xfId="0" applyNumberFormat="1" applyFont="1" applyFill="1" applyBorder="1" applyAlignment="1">
      <alignment horizontal="left" vertical="center" wrapText="1"/>
    </xf>
    <xf numFmtId="164" fontId="28" fillId="0" borderId="16" xfId="0" applyNumberFormat="1" applyFont="1" applyFill="1" applyBorder="1" applyAlignment="1">
      <alignment horizontal="left" vertical="center" wrapText="1"/>
    </xf>
    <xf numFmtId="164" fontId="28" fillId="0" borderId="17" xfId="0" applyNumberFormat="1" applyFont="1" applyFill="1" applyBorder="1" applyAlignment="1">
      <alignment horizontal="left" vertical="center" wrapText="1"/>
    </xf>
    <xf numFmtId="164" fontId="28" fillId="0" borderId="27" xfId="0" applyNumberFormat="1" applyFont="1" applyFill="1" applyBorder="1" applyAlignment="1">
      <alignment horizontal="left" vertical="center" wrapText="1"/>
    </xf>
    <xf numFmtId="164" fontId="28" fillId="0" borderId="20" xfId="0" applyNumberFormat="1" applyFont="1" applyFill="1" applyBorder="1" applyAlignment="1">
      <alignment horizontal="left" vertical="center" wrapText="1"/>
    </xf>
    <xf numFmtId="0" fontId="17" fillId="34" borderId="22" xfId="0" applyFont="1" applyFill="1" applyBorder="1"/>
    <xf numFmtId="0" fontId="17" fillId="34" borderId="28" xfId="0" applyFont="1" applyFill="1" applyBorder="1"/>
    <xf numFmtId="0" fontId="0" fillId="34" borderId="28" xfId="0" applyFill="1" applyBorder="1"/>
    <xf numFmtId="0" fontId="0" fillId="34" borderId="23" xfId="0" applyFill="1" applyBorder="1"/>
    <xf numFmtId="165" fontId="19" fillId="33" borderId="10" xfId="0" applyNumberFormat="1" applyFont="1" applyFill="1" applyBorder="1" applyAlignment="1">
      <alignment horizontal="center"/>
    </xf>
    <xf numFmtId="165" fontId="19" fillId="33" borderId="10" xfId="0" applyNumberFormat="1" applyFont="1" applyFill="1" applyBorder="1" applyAlignment="1">
      <alignment horizontal="center" wrapText="1"/>
    </xf>
    <xf numFmtId="166" fontId="20" fillId="33" borderId="10" xfId="0" applyNumberFormat="1" applyFont="1" applyFill="1" applyBorder="1" applyAlignment="1">
      <alignment horizontal="left" vertical="center"/>
    </xf>
    <xf numFmtId="165" fontId="23" fillId="33" borderId="10" xfId="0" applyNumberFormat="1" applyFont="1" applyFill="1" applyBorder="1" applyAlignment="1">
      <alignment horizontal="center"/>
    </xf>
    <xf numFmtId="164" fontId="18" fillId="33" borderId="10" xfId="0" applyNumberFormat="1" applyFont="1" applyFill="1" applyBorder="1" applyAlignment="1">
      <alignment horizontal="right"/>
    </xf>
    <xf numFmtId="49" fontId="22" fillId="34" borderId="34" xfId="0" applyNumberFormat="1" applyFont="1" applyFill="1" applyBorder="1" applyAlignment="1">
      <alignment horizontal="left" vertical="center" wrapText="1"/>
    </xf>
    <xf numFmtId="49" fontId="20" fillId="33" borderId="19" xfId="0" applyNumberFormat="1" applyFont="1" applyFill="1" applyBorder="1" applyAlignment="1">
      <alignment horizontal="left" vertical="center"/>
    </xf>
    <xf numFmtId="165" fontId="19" fillId="33" borderId="37" xfId="0" applyNumberFormat="1" applyFont="1" applyFill="1" applyBorder="1" applyAlignment="1">
      <alignment horizontal="center"/>
    </xf>
    <xf numFmtId="49" fontId="20" fillId="33" borderId="24" xfId="0" applyNumberFormat="1" applyFont="1" applyFill="1" applyBorder="1" applyAlignment="1">
      <alignment horizontal="left" vertical="center"/>
    </xf>
    <xf numFmtId="166" fontId="20" fillId="33" borderId="38" xfId="0" applyNumberFormat="1" applyFont="1" applyFill="1" applyBorder="1" applyAlignment="1">
      <alignment horizontal="left" vertical="center"/>
    </xf>
    <xf numFmtId="165" fontId="19" fillId="33" borderId="38" xfId="0" applyNumberFormat="1" applyFont="1" applyFill="1" applyBorder="1" applyAlignment="1">
      <alignment horizontal="center"/>
    </xf>
    <xf numFmtId="165" fontId="19" fillId="33" borderId="39" xfId="0" applyNumberFormat="1" applyFont="1" applyFill="1" applyBorder="1" applyAlignment="1">
      <alignment horizontal="center"/>
    </xf>
    <xf numFmtId="164" fontId="18" fillId="33" borderId="37" xfId="0" applyNumberFormat="1" applyFont="1" applyFill="1" applyBorder="1" applyAlignment="1">
      <alignment horizontal="right"/>
    </xf>
    <xf numFmtId="0" fontId="0" fillId="33" borderId="24" xfId="0" applyFill="1" applyBorder="1"/>
    <xf numFmtId="0" fontId="0" fillId="33" borderId="38" xfId="0" applyFill="1" applyBorder="1"/>
    <xf numFmtId="0" fontId="0" fillId="33" borderId="39" xfId="0" applyFill="1" applyBorder="1"/>
    <xf numFmtId="164" fontId="18" fillId="33" borderId="19" xfId="0" applyNumberFormat="1" applyFont="1" applyFill="1" applyBorder="1" applyAlignment="1">
      <alignment horizontal="right"/>
    </xf>
    <xf numFmtId="164" fontId="18" fillId="33" borderId="24" xfId="0" applyNumberFormat="1" applyFont="1" applyFill="1" applyBorder="1" applyAlignment="1">
      <alignment horizontal="right"/>
    </xf>
    <xf numFmtId="164" fontId="18" fillId="33" borderId="38" xfId="0" applyNumberFormat="1" applyFont="1" applyFill="1" applyBorder="1" applyAlignment="1">
      <alignment horizontal="right"/>
    </xf>
    <xf numFmtId="164" fontId="18" fillId="33" borderId="39" xfId="0" applyNumberFormat="1" applyFont="1" applyFill="1" applyBorder="1" applyAlignment="1">
      <alignment horizontal="right"/>
    </xf>
    <xf numFmtId="49" fontId="20" fillId="33" borderId="15" xfId="0" applyNumberFormat="1" applyFont="1" applyFill="1" applyBorder="1" applyAlignment="1">
      <alignment horizontal="left" vertical="center"/>
    </xf>
    <xf numFmtId="166" fontId="20" fillId="33" borderId="41" xfId="0" applyNumberFormat="1" applyFont="1" applyFill="1" applyBorder="1" applyAlignment="1">
      <alignment horizontal="left" vertical="center"/>
    </xf>
    <xf numFmtId="165" fontId="19" fillId="33" borderId="41" xfId="0" applyNumberFormat="1" applyFont="1" applyFill="1" applyBorder="1" applyAlignment="1">
      <alignment horizontal="center"/>
    </xf>
    <xf numFmtId="165" fontId="19" fillId="33" borderId="42" xfId="0" applyNumberFormat="1" applyFont="1" applyFill="1" applyBorder="1" applyAlignment="1">
      <alignment horizontal="center"/>
    </xf>
    <xf numFmtId="165" fontId="23" fillId="33" borderId="41" xfId="0" applyNumberFormat="1" applyFont="1" applyFill="1" applyBorder="1" applyAlignment="1">
      <alignment horizontal="center"/>
    </xf>
    <xf numFmtId="49" fontId="22" fillId="34" borderId="11" xfId="0" applyNumberFormat="1" applyFont="1" applyFill="1" applyBorder="1" applyAlignment="1">
      <alignment horizontal="left" vertical="center" wrapText="1"/>
    </xf>
    <xf numFmtId="49" fontId="22" fillId="34" borderId="40" xfId="0" applyNumberFormat="1" applyFont="1" applyFill="1" applyBorder="1" applyAlignment="1">
      <alignment horizontal="left" vertical="center" wrapText="1"/>
    </xf>
    <xf numFmtId="165" fontId="19" fillId="0" borderId="37" xfId="0" applyNumberFormat="1" applyFont="1" applyFill="1" applyBorder="1" applyAlignment="1">
      <alignment horizontal="center" wrapText="1"/>
    </xf>
    <xf numFmtId="165" fontId="19" fillId="33" borderId="38" xfId="0" applyNumberFormat="1" applyFont="1" applyFill="1" applyBorder="1" applyAlignment="1">
      <alignment horizontal="center" wrapText="1"/>
    </xf>
    <xf numFmtId="165" fontId="19" fillId="0" borderId="38" xfId="0" applyNumberFormat="1" applyFont="1" applyFill="1" applyBorder="1" applyAlignment="1">
      <alignment horizontal="center" wrapText="1"/>
    </xf>
    <xf numFmtId="165" fontId="19" fillId="0" borderId="39" xfId="0" applyNumberFormat="1" applyFont="1" applyFill="1" applyBorder="1" applyAlignment="1">
      <alignment horizontal="center" wrapText="1"/>
    </xf>
    <xf numFmtId="165" fontId="19" fillId="33" borderId="37" xfId="0" applyNumberFormat="1" applyFont="1" applyFill="1" applyBorder="1" applyAlignment="1">
      <alignment horizontal="center" wrapText="1"/>
    </xf>
    <xf numFmtId="165" fontId="19" fillId="33" borderId="39" xfId="0" applyNumberFormat="1" applyFont="1" applyFill="1" applyBorder="1" applyAlignment="1">
      <alignment horizontal="center" wrapText="1"/>
    </xf>
    <xf numFmtId="165" fontId="19" fillId="33" borderId="41" xfId="0" applyNumberFormat="1" applyFont="1" applyFill="1" applyBorder="1" applyAlignment="1">
      <alignment horizontal="center" wrapText="1"/>
    </xf>
    <xf numFmtId="165" fontId="19" fillId="0" borderId="41" xfId="0" applyNumberFormat="1" applyFont="1" applyFill="1" applyBorder="1" applyAlignment="1">
      <alignment horizontal="center" wrapText="1"/>
    </xf>
    <xf numFmtId="165" fontId="19" fillId="0" borderId="42" xfId="0" applyNumberFormat="1" applyFont="1" applyFill="1" applyBorder="1" applyAlignment="1">
      <alignment horizontal="center" wrapText="1"/>
    </xf>
    <xf numFmtId="49" fontId="22" fillId="34" borderId="24" xfId="0" applyNumberFormat="1" applyFont="1" applyFill="1" applyBorder="1" applyAlignment="1">
      <alignment horizontal="left" vertical="center" wrapText="1"/>
    </xf>
    <xf numFmtId="49" fontId="22" fillId="34" borderId="38" xfId="0" applyNumberFormat="1" applyFont="1" applyFill="1" applyBorder="1" applyAlignment="1">
      <alignment horizontal="center" vertical="center"/>
    </xf>
    <xf numFmtId="49" fontId="22" fillId="34" borderId="38" xfId="0" applyNumberFormat="1" applyFont="1" applyFill="1" applyBorder="1" applyAlignment="1">
      <alignment horizontal="center" vertical="center" wrapText="1"/>
    </xf>
    <xf numFmtId="49" fontId="22" fillId="34" borderId="39" xfId="0" applyNumberFormat="1" applyFont="1" applyFill="1" applyBorder="1" applyAlignment="1">
      <alignment horizontal="center" vertical="center" wrapText="1"/>
    </xf>
    <xf numFmtId="165" fontId="19" fillId="33" borderId="42" xfId="0" applyNumberFormat="1" applyFont="1" applyFill="1" applyBorder="1" applyAlignment="1">
      <alignment horizontal="center" wrapText="1"/>
    </xf>
    <xf numFmtId="3" fontId="19" fillId="33" borderId="37" xfId="0" applyNumberFormat="1" applyFont="1" applyFill="1" applyBorder="1" applyAlignment="1">
      <alignment horizontal="center" wrapText="1"/>
    </xf>
    <xf numFmtId="49" fontId="20" fillId="33" borderId="38" xfId="0" applyNumberFormat="1" applyFont="1" applyFill="1" applyBorder="1" applyAlignment="1">
      <alignment horizontal="left" vertical="center"/>
    </xf>
    <xf numFmtId="3" fontId="19" fillId="33" borderId="38" xfId="0" applyNumberFormat="1" applyFont="1" applyFill="1" applyBorder="1" applyAlignment="1">
      <alignment horizontal="center" wrapText="1"/>
    </xf>
    <xf numFmtId="3" fontId="19" fillId="33" borderId="39" xfId="0" applyNumberFormat="1" applyFont="1" applyFill="1" applyBorder="1" applyAlignment="1">
      <alignment horizontal="center" wrapText="1"/>
    </xf>
    <xf numFmtId="49" fontId="20" fillId="33" borderId="41" xfId="0" applyNumberFormat="1" applyFont="1" applyFill="1" applyBorder="1" applyAlignment="1">
      <alignment horizontal="left" vertical="center"/>
    </xf>
    <xf numFmtId="3" fontId="19" fillId="33" borderId="41" xfId="0" applyNumberFormat="1" applyFont="1" applyFill="1" applyBorder="1" applyAlignment="1">
      <alignment horizontal="center" wrapText="1"/>
    </xf>
    <xf numFmtId="3" fontId="19" fillId="33" borderId="42" xfId="0" applyNumberFormat="1" applyFont="1" applyFill="1" applyBorder="1" applyAlignment="1">
      <alignment horizontal="center" wrapText="1"/>
    </xf>
    <xf numFmtId="164" fontId="18" fillId="38" borderId="0" xfId="0" applyNumberFormat="1" applyFont="1" applyFill="1" applyBorder="1" applyAlignment="1">
      <alignment horizontal="right"/>
    </xf>
    <xf numFmtId="164" fontId="32" fillId="38" borderId="0" xfId="0" applyNumberFormat="1" applyFont="1" applyFill="1" applyBorder="1" applyAlignment="1">
      <alignment horizontal="right"/>
    </xf>
    <xf numFmtId="164" fontId="32" fillId="38" borderId="0" xfId="0" applyNumberFormat="1" applyFont="1" applyFill="1" applyBorder="1" applyAlignment="1">
      <alignment horizontal="left"/>
    </xf>
    <xf numFmtId="0" fontId="17" fillId="34" borderId="29" xfId="0" applyFont="1" applyFill="1" applyBorder="1" applyAlignment="1"/>
    <xf numFmtId="49" fontId="17" fillId="35" borderId="33" xfId="43" applyNumberFormat="1" applyFont="1" applyFill="1" applyBorder="1" applyAlignment="1">
      <alignment horizontal="left" vertical="center"/>
    </xf>
    <xf numFmtId="0" fontId="17" fillId="35" borderId="32" xfId="0" applyFont="1" applyFill="1" applyBorder="1" applyAlignment="1"/>
    <xf numFmtId="0" fontId="17" fillId="34" borderId="30" xfId="0" applyFont="1" applyFill="1" applyBorder="1" applyAlignment="1"/>
    <xf numFmtId="0" fontId="17" fillId="34" borderId="31" xfId="0" applyFont="1" applyFill="1" applyBorder="1" applyAlignment="1"/>
    <xf numFmtId="0" fontId="16" fillId="33" borderId="0" xfId="0" applyFont="1" applyFill="1" applyAlignment="1"/>
    <xf numFmtId="49" fontId="22" fillId="34" borderId="32" xfId="0" applyNumberFormat="1" applyFont="1" applyFill="1" applyBorder="1" applyAlignment="1">
      <alignment horizontal="left" vertical="center" wrapText="1"/>
    </xf>
    <xf numFmtId="49" fontId="22" fillId="34" borderId="33" xfId="0" applyNumberFormat="1" applyFont="1" applyFill="1" applyBorder="1" applyAlignment="1">
      <alignment horizontal="center" vertical="center" wrapText="1"/>
    </xf>
    <xf numFmtId="165" fontId="19" fillId="0" borderId="40" xfId="0" applyNumberFormat="1" applyFont="1" applyFill="1" applyBorder="1" applyAlignment="1">
      <alignment horizontal="center" wrapText="1"/>
    </xf>
    <xf numFmtId="165" fontId="19" fillId="0" borderId="12" xfId="0" applyNumberFormat="1" applyFont="1" applyFill="1" applyBorder="1" applyAlignment="1">
      <alignment horizontal="center" wrapText="1"/>
    </xf>
    <xf numFmtId="49" fontId="17" fillId="35" borderId="32" xfId="43" applyNumberFormat="1" applyFont="1" applyFill="1" applyBorder="1" applyAlignment="1">
      <alignment horizontal="left" vertical="center"/>
    </xf>
    <xf numFmtId="3" fontId="19" fillId="0" borderId="10" xfId="0" applyNumberFormat="1" applyFont="1" applyFill="1" applyBorder="1" applyAlignment="1">
      <alignment horizontal="center" wrapText="1"/>
    </xf>
    <xf numFmtId="3" fontId="19" fillId="0" borderId="35" xfId="0" applyNumberFormat="1" applyFont="1" applyFill="1" applyBorder="1" applyAlignment="1">
      <alignment horizontal="center" wrapText="1"/>
    </xf>
    <xf numFmtId="3" fontId="19" fillId="0" borderId="36" xfId="0" applyNumberFormat="1" applyFont="1" applyFill="1" applyBorder="1" applyAlignment="1">
      <alignment horizontal="center" wrapText="1"/>
    </xf>
    <xf numFmtId="3" fontId="19" fillId="0" borderId="38" xfId="0" applyNumberFormat="1" applyFont="1" applyFill="1" applyBorder="1" applyAlignment="1">
      <alignment horizontal="center" wrapText="1"/>
    </xf>
    <xf numFmtId="3" fontId="19" fillId="0" borderId="39" xfId="0" applyNumberFormat="1" applyFont="1" applyFill="1" applyBorder="1" applyAlignment="1">
      <alignment horizontal="center" wrapText="1"/>
    </xf>
    <xf numFmtId="3" fontId="19" fillId="33" borderId="10" xfId="0" applyNumberFormat="1" applyFont="1" applyFill="1" applyBorder="1" applyAlignment="1">
      <alignment horizontal="center"/>
    </xf>
    <xf numFmtId="3" fontId="19" fillId="0" borderId="37" xfId="0" applyNumberFormat="1" applyFont="1" applyFill="1" applyBorder="1" applyAlignment="1">
      <alignment horizontal="center" wrapText="1"/>
    </xf>
    <xf numFmtId="3" fontId="19" fillId="33" borderId="38" xfId="0" applyNumberFormat="1" applyFont="1" applyFill="1" applyBorder="1" applyAlignment="1">
      <alignment horizontal="center"/>
    </xf>
    <xf numFmtId="0" fontId="17" fillId="34" borderId="29" xfId="0" applyFont="1" applyFill="1" applyBorder="1"/>
    <xf numFmtId="0" fontId="17" fillId="34" borderId="30" xfId="0" applyFont="1" applyFill="1" applyBorder="1"/>
    <xf numFmtId="0" fontId="0" fillId="34" borderId="30" xfId="0" applyFill="1" applyBorder="1"/>
    <xf numFmtId="0" fontId="0" fillId="34" borderId="31" xfId="0" applyFill="1" applyBorder="1"/>
    <xf numFmtId="3" fontId="19" fillId="33" borderId="41" xfId="0" applyNumberFormat="1" applyFont="1" applyFill="1" applyBorder="1" applyAlignment="1">
      <alignment horizontal="center"/>
    </xf>
    <xf numFmtId="3" fontId="19" fillId="0" borderId="41" xfId="0" applyNumberFormat="1" applyFont="1" applyFill="1" applyBorder="1" applyAlignment="1">
      <alignment horizontal="center" wrapText="1"/>
    </xf>
    <xf numFmtId="3" fontId="19" fillId="0" borderId="42" xfId="0" applyNumberFormat="1" applyFont="1" applyFill="1" applyBorder="1" applyAlignment="1">
      <alignment horizontal="center" wrapText="1"/>
    </xf>
    <xf numFmtId="49" fontId="22" fillId="35" borderId="19" xfId="0" applyNumberFormat="1" applyFont="1" applyFill="1" applyBorder="1" applyAlignment="1">
      <alignment horizontal="left" vertical="center"/>
    </xf>
    <xf numFmtId="49" fontId="22" fillId="35" borderId="24" xfId="0" applyNumberFormat="1" applyFont="1" applyFill="1" applyBorder="1" applyAlignment="1">
      <alignment horizontal="left" vertical="center"/>
    </xf>
    <xf numFmtId="49" fontId="22" fillId="35" borderId="38" xfId="0" applyNumberFormat="1" applyFont="1" applyFill="1" applyBorder="1" applyAlignment="1">
      <alignment horizontal="center" vertical="center"/>
    </xf>
    <xf numFmtId="49" fontId="22" fillId="35" borderId="38" xfId="0" applyNumberFormat="1" applyFont="1" applyFill="1" applyBorder="1" applyAlignment="1">
      <alignment horizontal="center" vertical="center" wrapText="1"/>
    </xf>
    <xf numFmtId="49" fontId="22" fillId="35" borderId="39" xfId="0" applyNumberFormat="1" applyFont="1" applyFill="1" applyBorder="1" applyAlignment="1">
      <alignment horizontal="center" vertical="center" wrapText="1"/>
    </xf>
    <xf numFmtId="166" fontId="20" fillId="0" borderId="10" xfId="0" applyNumberFormat="1" applyFont="1" applyFill="1" applyBorder="1" applyAlignment="1">
      <alignment horizontal="left" vertical="center"/>
    </xf>
    <xf numFmtId="49" fontId="20" fillId="0" borderId="19" xfId="0" applyNumberFormat="1" applyFont="1" applyFill="1" applyBorder="1" applyAlignment="1">
      <alignment horizontal="left" vertical="center"/>
    </xf>
    <xf numFmtId="49" fontId="20" fillId="0" borderId="19" xfId="0" applyNumberFormat="1" applyFont="1" applyFill="1" applyBorder="1" applyAlignment="1">
      <alignment vertical="center"/>
    </xf>
    <xf numFmtId="49" fontId="20" fillId="0" borderId="24" xfId="0" applyNumberFormat="1" applyFont="1" applyFill="1" applyBorder="1" applyAlignment="1">
      <alignment horizontal="left" vertical="center"/>
    </xf>
    <xf numFmtId="166" fontId="20" fillId="0" borderId="38" xfId="0" applyNumberFormat="1" applyFont="1" applyFill="1" applyBorder="1" applyAlignment="1">
      <alignment horizontal="left" vertical="center"/>
    </xf>
    <xf numFmtId="49" fontId="20" fillId="0" borderId="15" xfId="0" applyNumberFormat="1" applyFont="1" applyFill="1" applyBorder="1" applyAlignment="1">
      <alignment horizontal="left" vertical="center"/>
    </xf>
    <xf numFmtId="166" fontId="20" fillId="0" borderId="41" xfId="0" applyNumberFormat="1" applyFont="1" applyFill="1" applyBorder="1" applyAlignment="1">
      <alignment horizontal="left" vertical="center"/>
    </xf>
    <xf numFmtId="49" fontId="22" fillId="35" borderId="24" xfId="0" applyNumberFormat="1" applyFont="1" applyFill="1" applyBorder="1" applyAlignment="1">
      <alignment horizontal="center" vertical="center"/>
    </xf>
    <xf numFmtId="49" fontId="22" fillId="35" borderId="39" xfId="0" applyNumberFormat="1" applyFont="1" applyFill="1" applyBorder="1" applyAlignment="1">
      <alignment horizontal="center" vertical="center"/>
    </xf>
    <xf numFmtId="164" fontId="21" fillId="33" borderId="0" xfId="0" applyNumberFormat="1" applyFont="1" applyFill="1" applyBorder="1" applyAlignment="1">
      <alignment horizontal="left" vertical="center"/>
    </xf>
    <xf numFmtId="49" fontId="22" fillId="34" borderId="43" xfId="0" applyNumberFormat="1" applyFont="1" applyFill="1" applyBorder="1" applyAlignment="1">
      <alignment horizontal="left" vertical="center" wrapText="1"/>
    </xf>
    <xf numFmtId="49" fontId="22" fillId="34" borderId="43" xfId="0" applyNumberFormat="1" applyFont="1" applyFill="1" applyBorder="1" applyAlignment="1">
      <alignment horizontal="center" vertical="center"/>
    </xf>
    <xf numFmtId="49" fontId="22" fillId="34" borderId="43" xfId="0" applyNumberFormat="1" applyFont="1" applyFill="1" applyBorder="1" applyAlignment="1">
      <alignment horizontal="center" vertical="center" wrapText="1"/>
    </xf>
    <xf numFmtId="3" fontId="19" fillId="37" borderId="10" xfId="0" applyNumberFormat="1" applyFont="1" applyFill="1" applyBorder="1" applyAlignment="1">
      <alignment horizontal="center" wrapText="1"/>
    </xf>
    <xf numFmtId="49" fontId="20" fillId="33" borderId="10" xfId="0" applyNumberFormat="1" applyFont="1" applyFill="1" applyBorder="1" applyAlignment="1">
      <alignment vertical="center"/>
    </xf>
    <xf numFmtId="49" fontId="20" fillId="33" borderId="10" xfId="0" quotePrefix="1" applyNumberFormat="1" applyFont="1" applyFill="1" applyBorder="1" applyAlignment="1">
      <alignment vertical="center"/>
    </xf>
    <xf numFmtId="3" fontId="23" fillId="33" borderId="10" xfId="0" applyNumberFormat="1" applyFont="1" applyFill="1" applyBorder="1" applyAlignment="1">
      <alignment horizontal="center" wrapText="1"/>
    </xf>
    <xf numFmtId="3" fontId="19" fillId="36" borderId="10" xfId="0" applyNumberFormat="1" applyFont="1" applyFill="1" applyBorder="1" applyAlignment="1">
      <alignment horizontal="center" wrapText="1"/>
    </xf>
    <xf numFmtId="49" fontId="20" fillId="33" borderId="10" xfId="0" quotePrefix="1" applyNumberFormat="1" applyFont="1" applyFill="1" applyBorder="1" applyAlignment="1">
      <alignment horizontal="left" vertical="center"/>
    </xf>
    <xf numFmtId="3" fontId="19" fillId="33" borderId="35" xfId="0" applyNumberFormat="1" applyFont="1" applyFill="1" applyBorder="1" applyAlignment="1">
      <alignment horizontal="center" wrapText="1"/>
    </xf>
    <xf numFmtId="3" fontId="19" fillId="33" borderId="36" xfId="0" applyNumberFormat="1" applyFont="1" applyFill="1" applyBorder="1" applyAlignment="1">
      <alignment horizontal="center" wrapText="1"/>
    </xf>
    <xf numFmtId="3" fontId="19" fillId="37" borderId="37" xfId="0" applyNumberFormat="1" applyFont="1" applyFill="1" applyBorder="1" applyAlignment="1">
      <alignment horizontal="center" wrapText="1"/>
    </xf>
    <xf numFmtId="49" fontId="20" fillId="33" borderId="19" xfId="0" applyNumberFormat="1" applyFont="1" applyFill="1" applyBorder="1" applyAlignment="1">
      <alignment vertical="center"/>
    </xf>
    <xf numFmtId="3" fontId="19" fillId="36" borderId="37" xfId="0" applyNumberFormat="1" applyFont="1" applyFill="1" applyBorder="1" applyAlignment="1">
      <alignment horizontal="center" wrapText="1"/>
    </xf>
    <xf numFmtId="0" fontId="0" fillId="33" borderId="19" xfId="0" applyFill="1" applyBorder="1"/>
    <xf numFmtId="49" fontId="20" fillId="33" borderId="24" xfId="0" applyNumberFormat="1" applyFont="1" applyFill="1" applyBorder="1" applyAlignment="1">
      <alignment vertical="center"/>
    </xf>
    <xf numFmtId="49" fontId="20" fillId="33" borderId="38" xfId="0" applyNumberFormat="1" applyFont="1" applyFill="1" applyBorder="1" applyAlignment="1">
      <alignment vertical="center"/>
    </xf>
    <xf numFmtId="166" fontId="20" fillId="33" borderId="34" xfId="0" applyNumberFormat="1" applyFont="1" applyFill="1" applyBorder="1" applyAlignment="1">
      <alignment horizontal="left" vertical="center" wrapText="1"/>
    </xf>
    <xf numFmtId="166" fontId="20" fillId="33" borderId="19" xfId="0" applyNumberFormat="1" applyFont="1" applyFill="1" applyBorder="1" applyAlignment="1">
      <alignment horizontal="left" vertical="center" wrapText="1"/>
    </xf>
    <xf numFmtId="166" fontId="20" fillId="33" borderId="24" xfId="0" applyNumberFormat="1" applyFont="1" applyFill="1" applyBorder="1" applyAlignment="1">
      <alignment horizontal="left" vertical="center" wrapText="1"/>
    </xf>
    <xf numFmtId="49" fontId="22" fillId="34" borderId="44" xfId="0" applyNumberFormat="1" applyFont="1" applyFill="1" applyBorder="1" applyAlignment="1">
      <alignment horizontal="left" vertical="center" wrapText="1"/>
    </xf>
    <xf numFmtId="49" fontId="22" fillId="34" borderId="45" xfId="0" applyNumberFormat="1" applyFont="1" applyFill="1" applyBorder="1" applyAlignment="1">
      <alignment horizontal="center" vertical="center" wrapText="1"/>
    </xf>
    <xf numFmtId="49" fontId="22" fillId="34" borderId="23" xfId="0" applyNumberFormat="1" applyFont="1" applyFill="1" applyBorder="1" applyAlignment="1">
      <alignment horizontal="center" vertical="center" wrapText="1"/>
    </xf>
    <xf numFmtId="0" fontId="14" fillId="33" borderId="0" xfId="0" applyFont="1" applyFill="1" applyAlignment="1"/>
    <xf numFmtId="49" fontId="20" fillId="0" borderId="41" xfId="0" applyNumberFormat="1" applyFont="1" applyFill="1" applyBorder="1" applyAlignment="1">
      <alignment horizontal="left" vertical="center" wrapText="1"/>
    </xf>
    <xf numFmtId="49" fontId="20" fillId="0" borderId="10" xfId="0" applyNumberFormat="1" applyFont="1" applyFill="1" applyBorder="1" applyAlignment="1">
      <alignment horizontal="left" vertical="center" wrapText="1"/>
    </xf>
    <xf numFmtId="49" fontId="20" fillId="0" borderId="38" xfId="0" applyNumberFormat="1" applyFont="1" applyFill="1" applyBorder="1" applyAlignment="1">
      <alignment horizontal="left" vertical="center" wrapText="1"/>
    </xf>
    <xf numFmtId="49" fontId="20" fillId="0" borderId="34" xfId="0" applyNumberFormat="1" applyFont="1" applyFill="1" applyBorder="1" applyAlignment="1">
      <alignment horizontal="left" vertical="center" wrapText="1"/>
    </xf>
    <xf numFmtId="49" fontId="20" fillId="0" borderId="11" xfId="0" applyNumberFormat="1" applyFont="1" applyFill="1" applyBorder="1" applyAlignment="1">
      <alignment horizontal="left" vertical="center" wrapText="1"/>
    </xf>
    <xf numFmtId="0" fontId="0" fillId="33" borderId="0" xfId="0" applyFill="1" applyAlignment="1">
      <alignment wrapText="1"/>
    </xf>
    <xf numFmtId="49" fontId="22" fillId="34" borderId="40" xfId="0" applyNumberFormat="1" applyFont="1" applyFill="1" applyBorder="1" applyAlignment="1">
      <alignment horizontal="center" vertical="center" wrapText="1"/>
    </xf>
    <xf numFmtId="49" fontId="22" fillId="34" borderId="12" xfId="0" applyNumberFormat="1" applyFont="1" applyFill="1" applyBorder="1" applyAlignment="1">
      <alignment horizontal="center" vertical="center" wrapText="1"/>
    </xf>
    <xf numFmtId="49" fontId="20" fillId="33" borderId="15" xfId="0" applyNumberFormat="1" applyFont="1" applyFill="1" applyBorder="1" applyAlignment="1">
      <alignment horizontal="left" vertical="center" wrapText="1"/>
    </xf>
    <xf numFmtId="49" fontId="20" fillId="33" borderId="19" xfId="0" applyNumberFormat="1" applyFont="1" applyFill="1" applyBorder="1" applyAlignment="1">
      <alignment horizontal="left" vertical="center" wrapText="1"/>
    </xf>
    <xf numFmtId="49" fontId="20" fillId="33" borderId="24" xfId="0" applyNumberFormat="1" applyFont="1" applyFill="1" applyBorder="1" applyAlignment="1">
      <alignment horizontal="left" vertical="center" wrapText="1"/>
    </xf>
    <xf numFmtId="49" fontId="20" fillId="0" borderId="24" xfId="0" applyNumberFormat="1" applyFont="1" applyFill="1" applyBorder="1" applyAlignment="1">
      <alignment horizontal="left" vertical="center" wrapText="1"/>
    </xf>
    <xf numFmtId="49" fontId="20" fillId="0" borderId="24" xfId="0" applyNumberFormat="1" applyFont="1" applyFill="1" applyBorder="1" applyAlignment="1">
      <alignment horizontal="left" vertical="center" wrapText="1"/>
    </xf>
    <xf numFmtId="164" fontId="18" fillId="44" borderId="0" xfId="0" applyNumberFormat="1" applyFont="1" applyFill="1" applyBorder="1" applyAlignment="1">
      <alignment horizontal="left"/>
    </xf>
    <xf numFmtId="164" fontId="26" fillId="39" borderId="22" xfId="0" applyNumberFormat="1" applyFont="1" applyFill="1" applyBorder="1" applyAlignment="1">
      <alignment horizontal="left" vertical="center"/>
    </xf>
    <xf numFmtId="164" fontId="26" fillId="39" borderId="23" xfId="0" applyNumberFormat="1" applyFont="1" applyFill="1" applyBorder="1" applyAlignment="1">
      <alignment horizontal="left" vertical="center"/>
    </xf>
    <xf numFmtId="164" fontId="29" fillId="40" borderId="22" xfId="0" applyNumberFormat="1" applyFont="1" applyFill="1" applyBorder="1" applyAlignment="1">
      <alignment horizontal="left" vertical="center"/>
    </xf>
    <xf numFmtId="164" fontId="29" fillId="40" borderId="23" xfId="0" applyNumberFormat="1" applyFont="1" applyFill="1" applyBorder="1" applyAlignment="1">
      <alignment horizontal="left" vertical="center"/>
    </xf>
    <xf numFmtId="164" fontId="29" fillId="42" borderId="22" xfId="0" applyNumberFormat="1" applyFont="1" applyFill="1" applyBorder="1" applyAlignment="1">
      <alignment horizontal="left" vertical="center" wrapText="1"/>
    </xf>
    <xf numFmtId="164" fontId="29" fillId="42" borderId="23" xfId="0" applyNumberFormat="1" applyFont="1" applyFill="1" applyBorder="1" applyAlignment="1">
      <alignment horizontal="left" vertical="center" wrapText="1"/>
    </xf>
    <xf numFmtId="0" fontId="24" fillId="33" borderId="0" xfId="0" applyFont="1" applyFill="1" applyAlignment="1">
      <alignment horizontal="left" vertical="top" wrapText="1"/>
    </xf>
    <xf numFmtId="49" fontId="22" fillId="35" borderId="10" xfId="0" applyNumberFormat="1" applyFont="1" applyFill="1" applyBorder="1" applyAlignment="1">
      <alignment horizontal="center" vertical="top" wrapText="1"/>
    </xf>
    <xf numFmtId="49" fontId="22" fillId="35" borderId="37" xfId="0" applyNumberFormat="1" applyFont="1" applyFill="1" applyBorder="1" applyAlignment="1">
      <alignment horizontal="center" vertical="top" wrapText="1"/>
    </xf>
    <xf numFmtId="0" fontId="17" fillId="34" borderId="34" xfId="0" applyFont="1" applyFill="1" applyBorder="1" applyAlignment="1">
      <alignment horizontal="center"/>
    </xf>
    <xf numFmtId="0" fontId="17" fillId="34" borderId="35" xfId="0" applyFont="1" applyFill="1" applyBorder="1" applyAlignment="1">
      <alignment horizontal="center"/>
    </xf>
    <xf numFmtId="0" fontId="17" fillId="34" borderId="36" xfId="0" applyFont="1" applyFill="1" applyBorder="1" applyAlignment="1">
      <alignment horizontal="center"/>
    </xf>
    <xf numFmtId="49" fontId="22" fillId="34" borderId="11" xfId="0" applyNumberFormat="1" applyFont="1" applyFill="1" applyBorder="1" applyAlignment="1">
      <alignment horizontal="center" vertical="center" wrapText="1"/>
    </xf>
    <xf numFmtId="49" fontId="22" fillId="34" borderId="40" xfId="0" applyNumberFormat="1" applyFont="1" applyFill="1" applyBorder="1" applyAlignment="1">
      <alignment horizontal="center" vertical="center" wrapText="1"/>
    </xf>
    <xf numFmtId="49" fontId="22" fillId="34" borderId="12" xfId="0" applyNumberFormat="1" applyFont="1" applyFill="1" applyBorder="1" applyAlignment="1">
      <alignment horizontal="center" vertical="center" wrapText="1"/>
    </xf>
    <xf numFmtId="49" fontId="20" fillId="33" borderId="15" xfId="0" applyNumberFormat="1" applyFont="1" applyFill="1" applyBorder="1" applyAlignment="1">
      <alignment horizontal="left" vertical="center" wrapText="1"/>
    </xf>
    <xf numFmtId="49" fontId="20" fillId="33" borderId="19" xfId="0" applyNumberFormat="1" applyFont="1" applyFill="1" applyBorder="1" applyAlignment="1">
      <alignment horizontal="left" vertical="center" wrapText="1"/>
    </xf>
    <xf numFmtId="49" fontId="20" fillId="33" borderId="24" xfId="0" applyNumberFormat="1" applyFont="1" applyFill="1" applyBorder="1" applyAlignment="1">
      <alignment horizontal="left" vertical="center" wrapText="1"/>
    </xf>
    <xf numFmtId="49" fontId="22" fillId="34" borderId="34" xfId="0" applyNumberFormat="1" applyFont="1" applyFill="1" applyBorder="1" applyAlignment="1">
      <alignment horizontal="center" vertical="center" wrapText="1"/>
    </xf>
    <xf numFmtId="49" fontId="22" fillId="34" borderId="35" xfId="0" applyNumberFormat="1" applyFont="1" applyFill="1" applyBorder="1" applyAlignment="1">
      <alignment horizontal="center" vertical="center" wrapText="1"/>
    </xf>
    <xf numFmtId="49" fontId="22" fillId="34" borderId="36" xfId="0" applyNumberFormat="1" applyFont="1" applyFill="1" applyBorder="1" applyAlignment="1">
      <alignment horizontal="center" vertical="center" wrapText="1"/>
    </xf>
    <xf numFmtId="49" fontId="22" fillId="34" borderId="35" xfId="0" applyNumberFormat="1" applyFont="1" applyFill="1" applyBorder="1" applyAlignment="1">
      <alignment horizontal="center" vertical="top" wrapText="1"/>
    </xf>
    <xf numFmtId="49" fontId="20" fillId="0" borderId="19" xfId="0" applyNumberFormat="1" applyFont="1" applyFill="1" applyBorder="1" applyAlignment="1">
      <alignment horizontal="left" vertical="center" wrapText="1"/>
    </xf>
    <xf numFmtId="49" fontId="20" fillId="0" borderId="24" xfId="0" applyNumberFormat="1" applyFont="1" applyFill="1" applyBorder="1" applyAlignment="1">
      <alignment horizontal="left" vertical="center" wrapText="1"/>
    </xf>
    <xf numFmtId="49" fontId="20" fillId="0" borderId="15" xfId="0" applyNumberFormat="1" applyFont="1" applyFill="1" applyBorder="1" applyAlignment="1">
      <alignment horizontal="left" vertical="center" wrapText="1"/>
    </xf>
    <xf numFmtId="49" fontId="22" fillId="34" borderId="36" xfId="0" applyNumberFormat="1" applyFont="1" applyFill="1" applyBorder="1" applyAlignment="1">
      <alignment horizontal="center" vertical="top" wrapText="1"/>
    </xf>
    <xf numFmtId="49" fontId="20" fillId="33" borderId="34" xfId="0" applyNumberFormat="1" applyFont="1" applyFill="1" applyBorder="1" applyAlignment="1">
      <alignment horizontal="left" vertical="center" wrapText="1"/>
    </xf>
    <xf numFmtId="49" fontId="20" fillId="33" borderId="35" xfId="0" applyNumberFormat="1" applyFont="1" applyFill="1" applyBorder="1" applyAlignment="1">
      <alignment horizontal="left" vertical="center" wrapText="1"/>
    </xf>
    <xf numFmtId="49" fontId="20" fillId="37" borderId="19" xfId="0" applyNumberFormat="1" applyFont="1" applyFill="1" applyBorder="1" applyAlignment="1">
      <alignment horizontal="left" vertical="center" wrapText="1"/>
    </xf>
    <xf numFmtId="49" fontId="20" fillId="37" borderId="10" xfId="0" applyNumberFormat="1" applyFont="1" applyFill="1" applyBorder="1" applyAlignment="1">
      <alignment horizontal="left" vertical="center" wrapText="1"/>
    </xf>
    <xf numFmtId="49" fontId="20" fillId="36" borderId="19" xfId="0" applyNumberFormat="1" applyFont="1" applyFill="1" applyBorder="1" applyAlignment="1">
      <alignment horizontal="left" vertical="center" wrapText="1"/>
    </xf>
    <xf numFmtId="49" fontId="20" fillId="36" borderId="10" xfId="0" applyNumberFormat="1" applyFont="1" applyFill="1" applyBorder="1" applyAlignment="1">
      <alignment horizontal="left" vertical="center" wrapText="1"/>
    </xf>
    <xf numFmtId="49" fontId="22" fillId="35" borderId="10" xfId="0" applyNumberFormat="1" applyFont="1" applyFill="1" applyBorder="1" applyAlignment="1">
      <alignment horizontal="center" vertical="top"/>
    </xf>
    <xf numFmtId="49" fontId="22" fillId="34" borderId="29" xfId="0" applyNumberFormat="1" applyFont="1" applyFill="1" applyBorder="1" applyAlignment="1">
      <alignment horizontal="center" vertical="center" wrapText="1"/>
    </xf>
    <xf numFmtId="49" fontId="22" fillId="34" borderId="30" xfId="0" applyNumberFormat="1" applyFont="1" applyFill="1" applyBorder="1" applyAlignment="1">
      <alignment horizontal="center" vertical="center" wrapText="1"/>
    </xf>
    <xf numFmtId="49" fontId="22" fillId="34" borderId="31" xfId="0" applyNumberFormat="1" applyFont="1" applyFill="1" applyBorder="1" applyAlignment="1">
      <alignment horizontal="center" vertical="center" wrapText="1"/>
    </xf>
    <xf numFmtId="49" fontId="17" fillId="35" borderId="0" xfId="43" applyNumberFormat="1" applyFont="1" applyFill="1" applyBorder="1" applyAlignment="1">
      <alignment horizontal="center" vertical="center"/>
    </xf>
    <xf numFmtId="49" fontId="17" fillId="35" borderId="33" xfId="43" applyNumberFormat="1" applyFont="1" applyFill="1" applyBorder="1" applyAlignment="1">
      <alignment horizontal="center" vertical="center"/>
    </xf>
    <xf numFmtId="0" fontId="14" fillId="33" borderId="0" xfId="0" applyFont="1" applyFill="1" applyAlignment="1">
      <alignment horizontal="left" wrapText="1"/>
    </xf>
    <xf numFmtId="168" fontId="18" fillId="33" borderId="0" xfId="0" applyNumberFormat="1" applyFont="1" applyFill="1" applyBorder="1" applyAlignment="1">
      <alignment horizontal="right"/>
    </xf>
    <xf numFmtId="9" fontId="18" fillId="33" borderId="0" xfId="1" applyFont="1" applyFill="1" applyBorder="1" applyAlignment="1">
      <alignment horizontal="right"/>
    </xf>
    <xf numFmtId="171" fontId="18" fillId="33" borderId="0" xfId="1" applyNumberFormat="1" applyFont="1" applyFill="1" applyBorder="1" applyAlignment="1">
      <alignment horizontal="right"/>
    </xf>
    <xf numFmtId="10" fontId="18" fillId="33" borderId="0" xfId="1" applyNumberFormat="1" applyFont="1" applyFill="1" applyBorder="1" applyAlignment="1">
      <alignment horizontal="right"/>
    </xf>
    <xf numFmtId="166" fontId="20" fillId="44" borderId="10" xfId="0" applyNumberFormat="1" applyFont="1" applyFill="1" applyBorder="1" applyAlignment="1">
      <alignment horizontal="left" vertical="center"/>
    </xf>
    <xf numFmtId="166" fontId="20" fillId="44" borderId="38" xfId="0" applyNumberFormat="1" applyFont="1" applyFill="1" applyBorder="1" applyAlignment="1">
      <alignment horizontal="left" vertical="center"/>
    </xf>
    <xf numFmtId="165" fontId="19" fillId="44" borderId="10" xfId="0" applyNumberFormat="1" applyFont="1" applyFill="1" applyBorder="1" applyAlignment="1">
      <alignment horizontal="center"/>
    </xf>
    <xf numFmtId="165" fontId="19" fillId="44" borderId="37" xfId="0" applyNumberFormat="1" applyFont="1" applyFill="1" applyBorder="1" applyAlignment="1">
      <alignment horizontal="center"/>
    </xf>
    <xf numFmtId="165" fontId="19" fillId="44" borderId="38" xfId="0" applyNumberFormat="1" applyFont="1" applyFill="1" applyBorder="1" applyAlignment="1">
      <alignment horizontal="center"/>
    </xf>
    <xf numFmtId="165" fontId="19" fillId="44" borderId="39" xfId="0" applyNumberFormat="1" applyFont="1" applyFill="1" applyBorder="1" applyAlignment="1">
      <alignment horizontal="center"/>
    </xf>
    <xf numFmtId="165" fontId="19" fillId="33" borderId="0" xfId="0" applyNumberFormat="1" applyFont="1" applyFill="1" applyBorder="1" applyAlignment="1">
      <alignment horizontal="left"/>
    </xf>
    <xf numFmtId="0" fontId="33" fillId="45" borderId="46" xfId="0" applyFont="1" applyFill="1" applyBorder="1" applyAlignment="1">
      <alignment horizontal="center" vertical="center" wrapText="1" readingOrder="1"/>
    </xf>
    <xf numFmtId="0" fontId="33" fillId="45" borderId="46" xfId="0" applyFont="1" applyFill="1" applyBorder="1" applyAlignment="1">
      <alignment horizontal="center" wrapText="1" readingOrder="1"/>
    </xf>
    <xf numFmtId="0" fontId="34" fillId="46" borderId="46" xfId="0" applyFont="1" applyFill="1" applyBorder="1" applyAlignment="1">
      <alignment horizontal="left" vertical="center" wrapText="1" readingOrder="1"/>
    </xf>
    <xf numFmtId="0" fontId="35" fillId="46" borderId="46" xfId="0" applyFont="1" applyFill="1" applyBorder="1" applyAlignment="1">
      <alignment horizontal="center" wrapText="1" readingOrder="1"/>
    </xf>
    <xf numFmtId="0" fontId="33" fillId="47" borderId="46" xfId="0" applyFont="1" applyFill="1" applyBorder="1" applyAlignment="1">
      <alignment horizontal="center" vertical="center" wrapText="1" readingOrder="1"/>
    </xf>
    <xf numFmtId="0" fontId="33" fillId="47" borderId="46" xfId="0" applyFont="1" applyFill="1" applyBorder="1" applyAlignment="1">
      <alignment horizontal="center" wrapText="1" readingOrder="1"/>
    </xf>
    <xf numFmtId="0" fontId="34" fillId="48" borderId="46" xfId="0" applyFont="1" applyFill="1" applyBorder="1" applyAlignment="1">
      <alignment horizontal="left" vertical="center" wrapText="1" readingOrder="1"/>
    </xf>
    <xf numFmtId="0" fontId="35" fillId="48" borderId="46" xfId="0" applyFont="1" applyFill="1" applyBorder="1" applyAlignment="1">
      <alignment horizontal="center" wrapText="1" readingOrder="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4" xfId="45"/>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4" xfId="44"/>
    <cellStyle name="Normal 5" xfId="43"/>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14</xdr:col>
      <xdr:colOff>182879</xdr:colOff>
      <xdr:row>73</xdr:row>
      <xdr:rowOff>91440</xdr:rowOff>
    </xdr:from>
    <xdr:to>
      <xdr:col>23</xdr:col>
      <xdr:colOff>224789</xdr:colOff>
      <xdr:row>98</xdr:row>
      <xdr:rowOff>95727</xdr:rowOff>
    </xdr:to>
    <xdr:pic>
      <xdr:nvPicPr>
        <xdr:cNvPr id="2" name="Picture 1">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a:stretch>
          <a:fillRect/>
        </a:stretch>
      </xdr:blipFill>
      <xdr:spPr>
        <a:xfrm>
          <a:off x="8130539" y="12748260"/>
          <a:ext cx="5916930" cy="45762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9525</xdr:colOff>
      <xdr:row>1</xdr:row>
      <xdr:rowOff>85725</xdr:rowOff>
    </xdr:from>
    <xdr:to>
      <xdr:col>13</xdr:col>
      <xdr:colOff>552450</xdr:colOff>
      <xdr:row>14</xdr:row>
      <xdr:rowOff>14020</xdr:rowOff>
    </xdr:to>
    <xdr:pic>
      <xdr:nvPicPr>
        <xdr:cNvPr id="3" name="Picture 2">
          <a:extLst>
            <a:ext uri="{FF2B5EF4-FFF2-40B4-BE49-F238E27FC236}">
              <a16:creationId xmlns:a16="http://schemas.microsoft.com/office/drawing/2014/main" xmlns=""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3250" y="276225"/>
          <a:ext cx="3495675" cy="2980105"/>
        </a:xfrm>
        <a:prstGeom prst="rect">
          <a:avLst/>
        </a:prstGeom>
      </xdr:spPr>
    </xdr:pic>
    <xdr:clientData/>
  </xdr:twoCellAnchor>
  <xdr:twoCellAnchor editAs="oneCell">
    <xdr:from>
      <xdr:col>0</xdr:col>
      <xdr:colOff>0</xdr:colOff>
      <xdr:row>18</xdr:row>
      <xdr:rowOff>0</xdr:rowOff>
    </xdr:from>
    <xdr:to>
      <xdr:col>5</xdr:col>
      <xdr:colOff>114299</xdr:colOff>
      <xdr:row>41</xdr:row>
      <xdr:rowOff>169069</xdr:rowOff>
    </xdr:to>
    <xdr:pic>
      <xdr:nvPicPr>
        <xdr:cNvPr id="4" name="Picture 3">
          <a:extLst>
            <a:ext uri="{FF2B5EF4-FFF2-40B4-BE49-F238E27FC236}">
              <a16:creationId xmlns:a16="http://schemas.microsoft.com/office/drawing/2014/main" xmlns="" id="{00000000-0008-0000-0300-000004000000}"/>
            </a:ext>
          </a:extLst>
        </xdr:cNvPr>
        <xdr:cNvPicPr>
          <a:picLocks noChangeAspect="1"/>
        </xdr:cNvPicPr>
      </xdr:nvPicPr>
      <xdr:blipFill>
        <a:blip xmlns:r="http://schemas.openxmlformats.org/officeDocument/2006/relationships" r:embed="rId2"/>
        <a:stretch>
          <a:fillRect/>
        </a:stretch>
      </xdr:blipFill>
      <xdr:spPr>
        <a:xfrm>
          <a:off x="0" y="4314825"/>
          <a:ext cx="4724399" cy="4550569"/>
        </a:xfrm>
        <a:prstGeom prst="rect">
          <a:avLst/>
        </a:prstGeom>
      </xdr:spPr>
    </xdr:pic>
    <xdr:clientData/>
  </xdr:twoCellAnchor>
  <xdr:twoCellAnchor editAs="oneCell">
    <xdr:from>
      <xdr:col>5</xdr:col>
      <xdr:colOff>114299</xdr:colOff>
      <xdr:row>18</xdr:row>
      <xdr:rowOff>0</xdr:rowOff>
    </xdr:from>
    <xdr:to>
      <xdr:col>12</xdr:col>
      <xdr:colOff>142874</xdr:colOff>
      <xdr:row>41</xdr:row>
      <xdr:rowOff>169069</xdr:rowOff>
    </xdr:to>
    <xdr:pic>
      <xdr:nvPicPr>
        <xdr:cNvPr id="5" name="Picture 4">
          <a:extLst>
            <a:ext uri="{FF2B5EF4-FFF2-40B4-BE49-F238E27FC236}">
              <a16:creationId xmlns:a16="http://schemas.microsoft.com/office/drawing/2014/main" xmlns="" id="{00000000-0008-0000-0300-000005000000}"/>
            </a:ext>
          </a:extLst>
        </xdr:cNvPr>
        <xdr:cNvPicPr>
          <a:picLocks noChangeAspect="1"/>
        </xdr:cNvPicPr>
      </xdr:nvPicPr>
      <xdr:blipFill>
        <a:blip xmlns:r="http://schemas.openxmlformats.org/officeDocument/2006/relationships" r:embed="rId3"/>
        <a:stretch>
          <a:fillRect/>
        </a:stretch>
      </xdr:blipFill>
      <xdr:spPr>
        <a:xfrm>
          <a:off x="4724399" y="4314825"/>
          <a:ext cx="4724400" cy="4550569"/>
        </a:xfrm>
        <a:prstGeom prst="rect">
          <a:avLst/>
        </a:prstGeom>
      </xdr:spPr>
    </xdr:pic>
    <xdr:clientData/>
  </xdr:twoCellAnchor>
</xdr:wsDr>
</file>

<file path=xl/theme/theme1.xml><?xml version="1.0" encoding="utf-8"?>
<a:theme xmlns:a="http://schemas.openxmlformats.org/drawingml/2006/main" name="Nielsen">
  <a:themeElements>
    <a:clrScheme name="Nielsen2015">
      <a:dk1>
        <a:srgbClr val="707276"/>
      </a:dk1>
      <a:lt1>
        <a:srgbClr val="FFFFFF"/>
      </a:lt1>
      <a:dk2>
        <a:srgbClr val="000000"/>
      </a:dk2>
      <a:lt2>
        <a:srgbClr val="707276"/>
      </a:lt2>
      <a:accent1>
        <a:srgbClr val="009DD9"/>
      </a:accent1>
      <a:accent2>
        <a:srgbClr val="FF8300"/>
      </a:accent2>
      <a:accent3>
        <a:srgbClr val="B21DAC"/>
      </a:accent3>
      <a:accent4>
        <a:srgbClr val="D70036"/>
      </a:accent4>
      <a:accent5>
        <a:srgbClr val="8DC63F"/>
      </a:accent5>
      <a:accent6>
        <a:srgbClr val="FFCD00"/>
      </a:accent6>
      <a:hlink>
        <a:srgbClr val="B21DAC"/>
      </a:hlink>
      <a:folHlink>
        <a:srgbClr val="8DC63F"/>
      </a:folHlink>
    </a:clrScheme>
    <a:fontScheme name="Office">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Couture">
      <a:fillStyleLst>
        <a:solidFill>
          <a:schemeClr val="phClr"/>
        </a:solidFill>
        <a:solidFill>
          <a:schemeClr val="phClr">
            <a:tint val="65000"/>
          </a:schemeClr>
        </a:solidFill>
        <a:solidFill>
          <a:schemeClr val="phClr">
            <a:shade val="80000"/>
            <a:satMod val="18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9050" h="31750" prst="coolSlant"/>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4">
            <a:lumMod val="20000"/>
            <a:lumOff val="80000"/>
          </a:schemeClr>
        </a:solidFill>
        <a:ln>
          <a:noFill/>
        </a:ln>
        <a:effectLst/>
      </a:spPr>
      <a:bodyPr rtlCol="0" anchor="ctr"/>
      <a:lstStyle>
        <a:defPPr algn="ctr">
          <a:defRPr/>
        </a:defP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custClrLst>
    <a:custClr name="Yellow">
      <a:srgbClr val="FFCD00"/>
    </a:custClr>
    <a:custClr name="Dark Red">
      <a:srgbClr val="9B0C10"/>
    </a:custClr>
    <a:custClr name="Light Red">
      <a:srgbClr val="F69493"/>
    </a:custClr>
    <a:custClr name="Pale Red">
      <a:srgbClr val="FACAC7"/>
    </a:custClr>
    <a:custClr name="Dark Purple">
      <a:srgbClr val="80076B"/>
    </a:custClr>
    <a:custClr name="Light Purple">
      <a:srgbClr val="DE98D5"/>
    </a:custClr>
    <a:custClr name="Pale Purple">
      <a:srgbClr val="F0CCEB"/>
    </a:custClr>
    <a:custClr name="Dark Orange">
      <a:srgbClr val="F15722"/>
    </a:custClr>
    <a:custClr name="Light Orange">
      <a:srgbClr val="FCBC85"/>
    </a:custClr>
    <a:custClr name="Pale Orange">
      <a:srgbClr val="FEDBBD"/>
    </a:custClr>
    <a:custClr name="Dark Cyan">
      <a:srgbClr val="007FC7"/>
    </a:custClr>
    <a:custClr name="Light Cyan">
      <a:srgbClr val="6ECFF6"/>
    </a:custClr>
    <a:custClr name="Pale Cyan">
      <a:srgbClr val="B9E5FB"/>
    </a:custClr>
    <a:custClr name="Dark Green">
      <a:srgbClr val="218535"/>
    </a:custClr>
    <a:custClr name="Green">
      <a:srgbClr val="8DC63F"/>
    </a:custClr>
    <a:custClr name="Light Green">
      <a:srgbClr val="C4DF9B"/>
    </a:custClr>
    <a:custClr name="Pale Green">
      <a:srgbClr val="E0EED0"/>
    </a:custClr>
    <a:custClr name="Light Gray">
      <a:srgbClr val="B6B6B9"/>
    </a:custClr>
  </a:custClr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5"/>
  <sheetViews>
    <sheetView topLeftCell="A19" workbookViewId="0">
      <selection activeCell="C40" sqref="C40"/>
    </sheetView>
  </sheetViews>
  <sheetFormatPr defaultColWidth="10.6640625" defaultRowHeight="13.2"/>
  <cols>
    <col min="1" max="1" width="4.33203125" style="22" customWidth="1"/>
    <col min="2" max="2" width="13.21875" style="22" customWidth="1"/>
    <col min="3" max="3" width="46.6640625" style="22" customWidth="1"/>
    <col min="4" max="4" width="4.21875" style="22" customWidth="1"/>
    <col min="5" max="5" width="28.77734375" style="22" bestFit="1" customWidth="1"/>
    <col min="6" max="6" width="102.109375" style="22" customWidth="1"/>
    <col min="7" max="7" width="17.33203125" style="22" bestFit="1" customWidth="1"/>
    <col min="8" max="9" width="13.33203125" style="22" bestFit="1" customWidth="1"/>
    <col min="10" max="16384" width="10.6640625" style="22"/>
  </cols>
  <sheetData>
    <row r="1" spans="2:6" ht="15.75" customHeight="1">
      <c r="B1" s="21"/>
    </row>
    <row r="2" spans="2:6" ht="15.75" customHeight="1">
      <c r="B2" s="180" t="s">
        <v>0</v>
      </c>
      <c r="C2" s="181"/>
      <c r="E2" s="182" t="s">
        <v>1</v>
      </c>
      <c r="F2" s="183"/>
    </row>
    <row r="3" spans="2:6" ht="15.75" customHeight="1">
      <c r="B3" s="23" t="s">
        <v>2</v>
      </c>
      <c r="C3" s="24" t="s">
        <v>3</v>
      </c>
      <c r="E3" s="25" t="s">
        <v>4</v>
      </c>
      <c r="F3" s="25" t="s">
        <v>5</v>
      </c>
    </row>
    <row r="4" spans="2:6" ht="15.75" customHeight="1">
      <c r="B4" s="26" t="s">
        <v>6</v>
      </c>
      <c r="C4" s="27" t="s">
        <v>7</v>
      </c>
      <c r="E4" s="25" t="s">
        <v>8</v>
      </c>
      <c r="F4" s="28" t="s">
        <v>9</v>
      </c>
    </row>
    <row r="5" spans="2:6" ht="15.75" customHeight="1">
      <c r="B5" s="26" t="s">
        <v>10</v>
      </c>
      <c r="C5" s="27" t="s">
        <v>11</v>
      </c>
      <c r="E5" s="26" t="s">
        <v>12</v>
      </c>
      <c r="F5" s="27" t="s">
        <v>13</v>
      </c>
    </row>
    <row r="6" spans="2:6" ht="15.75" customHeight="1">
      <c r="B6" s="26" t="s">
        <v>14</v>
      </c>
      <c r="C6" s="27" t="s">
        <v>15</v>
      </c>
      <c r="E6" s="29" t="s">
        <v>16</v>
      </c>
      <c r="F6" s="28" t="s">
        <v>17</v>
      </c>
    </row>
    <row r="7" spans="2:6" ht="15.75" customHeight="1">
      <c r="B7" s="26" t="s">
        <v>18</v>
      </c>
      <c r="C7" s="27" t="s">
        <v>19</v>
      </c>
      <c r="E7" s="29" t="s">
        <v>20</v>
      </c>
      <c r="F7" s="29" t="s">
        <v>21</v>
      </c>
    </row>
    <row r="8" spans="2:6" ht="15.75" customHeight="1">
      <c r="B8" s="30" t="s">
        <v>22</v>
      </c>
      <c r="C8" s="31" t="s">
        <v>23</v>
      </c>
      <c r="E8" s="29" t="s">
        <v>24</v>
      </c>
      <c r="F8" s="29" t="s">
        <v>25</v>
      </c>
    </row>
    <row r="9" spans="2:6" ht="15.75" customHeight="1">
      <c r="B9" s="32"/>
      <c r="E9" s="29" t="s">
        <v>26</v>
      </c>
      <c r="F9" s="29" t="s">
        <v>27</v>
      </c>
    </row>
    <row r="10" spans="2:6" ht="15.75" customHeight="1">
      <c r="B10" s="33" t="s">
        <v>28</v>
      </c>
      <c r="C10" s="34"/>
      <c r="E10" s="29" t="s">
        <v>29</v>
      </c>
      <c r="F10" s="29" t="s">
        <v>30</v>
      </c>
    </row>
    <row r="11" spans="2:6" ht="15.75" customHeight="1">
      <c r="B11" s="23" t="s">
        <v>31</v>
      </c>
      <c r="C11" s="24" t="s">
        <v>32</v>
      </c>
      <c r="E11" s="29" t="s">
        <v>33</v>
      </c>
      <c r="F11" s="29" t="s">
        <v>34</v>
      </c>
    </row>
    <row r="12" spans="2:6" ht="15.75" customHeight="1">
      <c r="B12" s="28" t="s">
        <v>35</v>
      </c>
      <c r="C12" s="24" t="s">
        <v>36</v>
      </c>
      <c r="E12" s="35" t="s">
        <v>37</v>
      </c>
      <c r="F12" s="35" t="s">
        <v>38</v>
      </c>
    </row>
    <row r="13" spans="2:6" ht="15.75" customHeight="1">
      <c r="B13" s="26" t="s">
        <v>39</v>
      </c>
      <c r="C13" s="24" t="s">
        <v>40</v>
      </c>
      <c r="E13" s="36"/>
      <c r="F13" s="36"/>
    </row>
    <row r="14" spans="2:6" ht="15.75" customHeight="1">
      <c r="B14" s="30" t="s">
        <v>41</v>
      </c>
      <c r="C14" s="37" t="s">
        <v>42</v>
      </c>
    </row>
    <row r="15" spans="2:6" ht="31.5" customHeight="1"/>
    <row r="16" spans="2:6" ht="15.75" customHeight="1">
      <c r="B16" s="184" t="s">
        <v>43</v>
      </c>
      <c r="C16" s="185"/>
      <c r="E16" s="38" t="s">
        <v>44</v>
      </c>
    </row>
    <row r="17" spans="2:5" ht="15.75" customHeight="1">
      <c r="B17" s="39" t="s">
        <v>45</v>
      </c>
      <c r="C17" s="40" t="s">
        <v>46</v>
      </c>
      <c r="E17" s="26" t="s">
        <v>47</v>
      </c>
    </row>
    <row r="18" spans="2:5" ht="15.75" customHeight="1">
      <c r="B18" s="41" t="s">
        <v>48</v>
      </c>
      <c r="C18" s="40" t="s">
        <v>46</v>
      </c>
      <c r="E18" s="26" t="s">
        <v>49</v>
      </c>
    </row>
    <row r="19" spans="2:5" ht="15.75" customHeight="1">
      <c r="B19" s="41" t="s">
        <v>50</v>
      </c>
      <c r="C19" s="40" t="s">
        <v>51</v>
      </c>
      <c r="E19" s="26" t="s">
        <v>52</v>
      </c>
    </row>
    <row r="20" spans="2:5" ht="15.75" customHeight="1">
      <c r="B20" s="41" t="s">
        <v>53</v>
      </c>
      <c r="C20" s="40" t="s">
        <v>54</v>
      </c>
      <c r="E20" s="26" t="s">
        <v>55</v>
      </c>
    </row>
    <row r="21" spans="2:5" ht="15.75" customHeight="1">
      <c r="B21" s="41" t="s">
        <v>56</v>
      </c>
      <c r="C21" s="40" t="s">
        <v>57</v>
      </c>
      <c r="E21" s="26" t="s">
        <v>58</v>
      </c>
    </row>
    <row r="22" spans="2:5" ht="30.75" customHeight="1">
      <c r="B22" s="41" t="s">
        <v>59</v>
      </c>
      <c r="C22" s="40" t="s">
        <v>60</v>
      </c>
      <c r="E22" s="26" t="s">
        <v>61</v>
      </c>
    </row>
    <row r="23" spans="2:5" ht="30.75" customHeight="1">
      <c r="B23" s="41" t="s">
        <v>62</v>
      </c>
      <c r="C23" s="40" t="s">
        <v>63</v>
      </c>
      <c r="E23" s="30" t="s">
        <v>64</v>
      </c>
    </row>
    <row r="24" spans="2:5" ht="15.75" customHeight="1">
      <c r="B24" s="42" t="s">
        <v>65</v>
      </c>
      <c r="C24" s="40" t="s">
        <v>66</v>
      </c>
    </row>
    <row r="25" spans="2:5" ht="30.75" customHeight="1">
      <c r="B25" s="42" t="s">
        <v>67</v>
      </c>
      <c r="C25" s="43" t="s">
        <v>68</v>
      </c>
    </row>
    <row r="26" spans="2:5" ht="15.75" customHeight="1">
      <c r="B26" s="42" t="s">
        <v>69</v>
      </c>
      <c r="C26" s="42" t="s">
        <v>70</v>
      </c>
    </row>
    <row r="27" spans="2:5" ht="15.75" customHeight="1">
      <c r="B27" s="42" t="s">
        <v>71</v>
      </c>
      <c r="C27" s="42" t="s">
        <v>72</v>
      </c>
    </row>
    <row r="28" spans="2:5" ht="15.75" customHeight="1">
      <c r="B28" s="42" t="s">
        <v>73</v>
      </c>
      <c r="C28" s="42" t="s">
        <v>74</v>
      </c>
    </row>
    <row r="29" spans="2:5" ht="15.75" customHeight="1">
      <c r="B29" s="42" t="s">
        <v>75</v>
      </c>
      <c r="C29" s="42" t="s">
        <v>76</v>
      </c>
    </row>
    <row r="30" spans="2:5" ht="15.75" customHeight="1">
      <c r="B30" s="42" t="s">
        <v>77</v>
      </c>
      <c r="C30" s="42" t="s">
        <v>78</v>
      </c>
    </row>
    <row r="31" spans="2:5" ht="15.75" customHeight="1">
      <c r="B31" s="42" t="s">
        <v>79</v>
      </c>
      <c r="C31" s="42" t="s">
        <v>80</v>
      </c>
    </row>
    <row r="32" spans="2:5" ht="15.75" customHeight="1">
      <c r="B32" s="42" t="s">
        <v>81</v>
      </c>
      <c r="C32" s="42" t="s">
        <v>82</v>
      </c>
    </row>
    <row r="33" spans="2:3" ht="15.75" customHeight="1">
      <c r="B33" s="42" t="s">
        <v>83</v>
      </c>
      <c r="C33" s="42" t="s">
        <v>84</v>
      </c>
    </row>
    <row r="34" spans="2:3" ht="48" customHeight="1">
      <c r="B34" s="44" t="s">
        <v>85</v>
      </c>
      <c r="C34" s="44" t="s">
        <v>86</v>
      </c>
    </row>
    <row r="35" spans="2:3" ht="43.5" customHeight="1">
      <c r="B35" s="45" t="s">
        <v>87</v>
      </c>
      <c r="C35" s="45" t="s">
        <v>88</v>
      </c>
    </row>
  </sheetData>
  <mergeCells count="3">
    <mergeCell ref="B2:C2"/>
    <mergeCell ref="E2:F2"/>
    <mergeCell ref="B16:C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
  <sheetViews>
    <sheetView workbookViewId="0">
      <selection activeCell="A3" sqref="A3"/>
    </sheetView>
  </sheetViews>
  <sheetFormatPr defaultColWidth="8.88671875" defaultRowHeight="14.4"/>
  <cols>
    <col min="1" max="11" width="8.88671875" style="3"/>
    <col min="12" max="12" width="14.109375" style="3" customWidth="1"/>
    <col min="13" max="16384" width="8.88671875" style="3"/>
  </cols>
  <sheetData>
    <row r="1" spans="2:12" ht="15" thickBot="1"/>
    <row r="2" spans="2:12" ht="15" thickBot="1">
      <c r="B2" s="46" t="s">
        <v>89</v>
      </c>
      <c r="C2" s="47"/>
      <c r="D2" s="47"/>
      <c r="E2" s="47"/>
      <c r="F2" s="48"/>
      <c r="G2" s="48"/>
      <c r="H2" s="48"/>
      <c r="I2" s="48"/>
      <c r="J2" s="48"/>
      <c r="K2" s="48"/>
      <c r="L2" s="49"/>
    </row>
    <row r="3" spans="2:12" ht="292.5" customHeight="1">
      <c r="B3" s="186" t="s">
        <v>90</v>
      </c>
      <c r="C3" s="186"/>
      <c r="D3" s="186"/>
      <c r="E3" s="186"/>
      <c r="F3" s="186"/>
      <c r="G3" s="186"/>
      <c r="H3" s="186"/>
      <c r="I3" s="186"/>
      <c r="J3" s="186"/>
      <c r="K3" s="186"/>
      <c r="L3" s="186"/>
    </row>
  </sheetData>
  <mergeCells count="1">
    <mergeCell ref="B3:L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4"/>
  <sheetViews>
    <sheetView tabSelected="1" workbookViewId="0">
      <selection activeCell="Y57" sqref="Y57:Y60"/>
    </sheetView>
  </sheetViews>
  <sheetFormatPr defaultColWidth="8.33203125" defaultRowHeight="13.2"/>
  <cols>
    <col min="1" max="1" width="15.88671875" style="1" bestFit="1" customWidth="1"/>
    <col min="2" max="2" width="16.44140625" style="2" customWidth="1"/>
    <col min="3" max="4" width="5.88671875" style="1" customWidth="1"/>
    <col min="5" max="5" width="6.109375" style="1" customWidth="1"/>
    <col min="6" max="6" width="7.21875" style="1" customWidth="1"/>
    <col min="7" max="7" width="11.77734375" style="1" customWidth="1"/>
    <col min="8" max="8" width="8.88671875" style="1" customWidth="1"/>
    <col min="9" max="9" width="9.21875" style="1" customWidth="1"/>
    <col min="10" max="10" width="8.88671875" style="1" customWidth="1"/>
    <col min="11" max="11" width="7.88671875" style="1" customWidth="1"/>
    <col min="12" max="14" width="5.88671875" style="1" customWidth="1"/>
    <col min="15" max="15" width="17.21875" style="1" customWidth="1"/>
    <col min="16" max="16" width="10.109375" style="1" customWidth="1"/>
    <col min="17" max="16384" width="8.33203125" style="1"/>
  </cols>
  <sheetData>
    <row r="1" spans="1:24" s="2" customFormat="1">
      <c r="A1" s="100" t="s">
        <v>91</v>
      </c>
      <c r="B1" s="99"/>
      <c r="C1" s="99"/>
      <c r="D1" s="99"/>
      <c r="E1" s="99"/>
      <c r="F1" s="99"/>
      <c r="G1" s="99"/>
      <c r="H1" s="99"/>
      <c r="I1" s="99"/>
      <c r="J1" s="99"/>
      <c r="K1" s="99"/>
      <c r="L1" s="99"/>
      <c r="M1" s="99"/>
      <c r="N1" s="99"/>
      <c r="O1" s="99"/>
      <c r="P1" s="99"/>
      <c r="Q1" s="99"/>
      <c r="R1" s="98"/>
      <c r="S1" s="98"/>
      <c r="T1" s="98"/>
      <c r="U1" s="98"/>
      <c r="V1" s="4"/>
      <c r="W1" s="4"/>
      <c r="X1" s="4"/>
    </row>
    <row r="2" spans="1:24" s="4" customFormat="1">
      <c r="A2" s="17"/>
    </row>
    <row r="3" spans="1:24" s="4" customFormat="1" ht="13.8" thickBot="1">
      <c r="G3" s="5" t="s">
        <v>92</v>
      </c>
    </row>
    <row r="4" spans="1:24" s="4" customFormat="1" ht="21" thickBot="1">
      <c r="A4" s="75" t="s">
        <v>93</v>
      </c>
      <c r="B4" s="76" t="s">
        <v>94</v>
      </c>
      <c r="C4" s="172" t="s">
        <v>95</v>
      </c>
      <c r="D4" s="172" t="s">
        <v>96</v>
      </c>
      <c r="E4" s="172" t="s">
        <v>97</v>
      </c>
      <c r="F4" s="172" t="s">
        <v>98</v>
      </c>
      <c r="G4" s="172" t="s">
        <v>99</v>
      </c>
      <c r="H4" s="172" t="s">
        <v>100</v>
      </c>
      <c r="I4" s="172" t="s">
        <v>101</v>
      </c>
      <c r="J4" s="172" t="s">
        <v>102</v>
      </c>
      <c r="K4" s="172" t="s">
        <v>103</v>
      </c>
      <c r="L4" s="172" t="s">
        <v>104</v>
      </c>
      <c r="M4" s="172" t="s">
        <v>105</v>
      </c>
      <c r="N4" s="173" t="s">
        <v>106</v>
      </c>
      <c r="O4" s="179" t="s">
        <v>195</v>
      </c>
    </row>
    <row r="5" spans="1:24" s="4" customFormat="1">
      <c r="A5" s="195" t="s">
        <v>48</v>
      </c>
      <c r="B5" s="95" t="s">
        <v>107</v>
      </c>
      <c r="C5" s="96">
        <v>73.794471000000001</v>
      </c>
      <c r="D5" s="96">
        <v>98.688078000000004</v>
      </c>
      <c r="E5" s="96">
        <v>98.688078000000004</v>
      </c>
      <c r="F5" s="96">
        <v>190.21543700000001</v>
      </c>
      <c r="G5" s="96">
        <v>212.13312999999999</v>
      </c>
      <c r="H5" s="96">
        <v>262.83828599999998</v>
      </c>
      <c r="I5" s="96">
        <v>282.10132900000002</v>
      </c>
      <c r="J5" s="96">
        <v>308.37011000000001</v>
      </c>
      <c r="K5" s="96">
        <v>352.34115800000001</v>
      </c>
      <c r="L5" s="96">
        <v>355.497006</v>
      </c>
      <c r="M5" s="96">
        <v>373.42189000000002</v>
      </c>
      <c r="N5" s="97">
        <v>376.35607199999998</v>
      </c>
    </row>
    <row r="6" spans="1:24" s="4" customFormat="1">
      <c r="A6" s="196"/>
      <c r="B6" s="18" t="s">
        <v>108</v>
      </c>
      <c r="C6" s="19">
        <v>22.872679000000002</v>
      </c>
      <c r="D6" s="19">
        <v>23.675402999999999</v>
      </c>
      <c r="E6" s="19">
        <v>23.675402999999999</v>
      </c>
      <c r="F6" s="19">
        <v>23.504732000000001</v>
      </c>
      <c r="G6" s="19">
        <v>22.853590000000001</v>
      </c>
      <c r="H6" s="19">
        <v>23.704107</v>
      </c>
      <c r="I6" s="19">
        <v>24.155481999999999</v>
      </c>
      <c r="J6" s="19">
        <v>22.720175999999999</v>
      </c>
      <c r="K6" s="19">
        <v>21.210953</v>
      </c>
      <c r="L6" s="19">
        <v>23.228997</v>
      </c>
      <c r="M6" s="19">
        <v>24.823150999999999</v>
      </c>
      <c r="N6" s="91">
        <v>25.019247</v>
      </c>
    </row>
    <row r="7" spans="1:24" s="4" customFormat="1">
      <c r="A7" s="196"/>
      <c r="B7" s="18" t="s">
        <v>109</v>
      </c>
      <c r="C7" s="19">
        <v>9.1319739999999996</v>
      </c>
      <c r="D7" s="19">
        <v>9.5518680000000007</v>
      </c>
      <c r="E7" s="19">
        <v>9.5518680000000007</v>
      </c>
      <c r="F7" s="19">
        <v>9.5745229999999992</v>
      </c>
      <c r="G7" s="19">
        <v>10.455662</v>
      </c>
      <c r="H7" s="19">
        <v>10.454326999999999</v>
      </c>
      <c r="I7" s="19">
        <v>10.322516999999999</v>
      </c>
      <c r="J7" s="19">
        <v>10.001075</v>
      </c>
      <c r="K7" s="19">
        <v>10.061073</v>
      </c>
      <c r="L7" s="19">
        <v>9.7164850000000005</v>
      </c>
      <c r="M7" s="19">
        <v>10.886103</v>
      </c>
      <c r="N7" s="91">
        <v>12.385768000000001</v>
      </c>
    </row>
    <row r="8" spans="1:24" s="4" customFormat="1">
      <c r="A8" s="196"/>
      <c r="B8" s="18" t="s">
        <v>110</v>
      </c>
      <c r="C8" s="19">
        <v>0.25482399999999999</v>
      </c>
      <c r="D8" s="19">
        <v>0.277779</v>
      </c>
      <c r="E8" s="19">
        <v>0.277779</v>
      </c>
      <c r="F8" s="19">
        <v>0.20972399999999999</v>
      </c>
      <c r="G8" s="19">
        <v>0.100554</v>
      </c>
      <c r="H8" s="19">
        <v>0.21538199999999999</v>
      </c>
      <c r="I8" s="19">
        <v>0.13691700000000001</v>
      </c>
      <c r="J8" s="19">
        <v>2.5652000000000001E-2</v>
      </c>
      <c r="K8" s="19">
        <v>4.8576000000000001E-2</v>
      </c>
      <c r="L8" s="19">
        <v>0.57722399999999996</v>
      </c>
      <c r="M8" s="19">
        <v>2.3176269999999999</v>
      </c>
      <c r="N8" s="91">
        <v>11.452766</v>
      </c>
    </row>
    <row r="9" spans="1:24" s="4" customFormat="1">
      <c r="A9" s="196"/>
      <c r="B9" s="18" t="s">
        <v>111</v>
      </c>
      <c r="C9" s="19">
        <v>0.26504800000000001</v>
      </c>
      <c r="D9" s="19">
        <v>0.315025</v>
      </c>
      <c r="E9" s="19">
        <v>0.315025</v>
      </c>
      <c r="F9" s="19">
        <v>0.703121</v>
      </c>
      <c r="G9" s="19">
        <v>0.74754699999999996</v>
      </c>
      <c r="H9" s="19">
        <v>0.47539100000000001</v>
      </c>
      <c r="I9" s="19">
        <v>0.87420799999999999</v>
      </c>
      <c r="J9" s="19">
        <v>0.63715900000000003</v>
      </c>
      <c r="K9" s="19">
        <v>0.61086099999999999</v>
      </c>
      <c r="L9" s="19">
        <v>0.53460300000000005</v>
      </c>
      <c r="M9" s="19">
        <v>0.271565</v>
      </c>
      <c r="N9" s="91">
        <v>0.14527599999999999</v>
      </c>
    </row>
    <row r="10" spans="1:24" s="4" customFormat="1">
      <c r="A10" s="196"/>
      <c r="B10" s="18" t="s">
        <v>109</v>
      </c>
      <c r="C10" s="19">
        <v>0.192276</v>
      </c>
      <c r="D10" s="19">
        <v>0.18675600000000001</v>
      </c>
      <c r="E10" s="19">
        <v>0.18675600000000001</v>
      </c>
      <c r="F10" s="19">
        <v>0.405696</v>
      </c>
      <c r="G10" s="19">
        <v>0.28294599999999998</v>
      </c>
      <c r="H10" s="19">
        <v>0.29508600000000001</v>
      </c>
      <c r="I10" s="19">
        <v>0.19037299999999999</v>
      </c>
      <c r="J10" s="19">
        <v>8.6342000000000002E-2</v>
      </c>
      <c r="K10" s="19">
        <v>5.1744999999999999E-2</v>
      </c>
      <c r="L10" s="19">
        <v>3.3092999999999997E-2</v>
      </c>
      <c r="M10" s="19">
        <v>2.4500000000000001E-2</v>
      </c>
      <c r="N10" s="91">
        <v>2.4851000000000002E-2</v>
      </c>
    </row>
    <row r="11" spans="1:24" s="4" customFormat="1" ht="13.8" thickBot="1">
      <c r="A11" s="197"/>
      <c r="B11" s="92" t="s">
        <v>112</v>
      </c>
      <c r="C11" s="93">
        <v>28.621245999999999</v>
      </c>
      <c r="D11" s="93">
        <v>27.834589999999999</v>
      </c>
      <c r="E11" s="93">
        <v>27.834589999999999</v>
      </c>
      <c r="F11" s="93">
        <v>28.412893</v>
      </c>
      <c r="G11" s="93">
        <v>28.27786</v>
      </c>
      <c r="H11" s="93">
        <v>28.247748999999999</v>
      </c>
      <c r="I11" s="93">
        <v>27.503944000000001</v>
      </c>
      <c r="J11" s="93">
        <v>27.900127999999999</v>
      </c>
      <c r="K11" s="93">
        <v>27.075589000000001</v>
      </c>
      <c r="L11" s="93">
        <v>26.776242</v>
      </c>
      <c r="M11" s="93">
        <v>26.173698000000002</v>
      </c>
      <c r="N11" s="94">
        <v>25.206160000000001</v>
      </c>
    </row>
    <row r="12" spans="1:24" s="4" customFormat="1"/>
    <row r="13" spans="1:24" s="4" customFormat="1">
      <c r="A13" s="99" t="s">
        <v>113</v>
      </c>
      <c r="B13" s="99"/>
      <c r="C13" s="99"/>
      <c r="D13" s="99"/>
      <c r="E13" s="99"/>
      <c r="F13" s="99"/>
      <c r="G13" s="99"/>
      <c r="H13" s="99"/>
      <c r="I13" s="99"/>
      <c r="J13" s="99"/>
      <c r="K13" s="99"/>
      <c r="L13" s="99"/>
      <c r="M13" s="99"/>
      <c r="N13" s="99"/>
      <c r="O13" s="99"/>
      <c r="P13" s="99"/>
      <c r="Q13" s="99"/>
      <c r="R13" s="98"/>
      <c r="S13" s="98"/>
      <c r="T13" s="98"/>
      <c r="U13" s="98"/>
    </row>
    <row r="14" spans="1:24" s="4" customFormat="1" ht="13.8" thickBot="1">
      <c r="D14" s="5"/>
      <c r="E14" s="5"/>
      <c r="F14" s="5"/>
      <c r="G14" s="5" t="s">
        <v>114</v>
      </c>
      <c r="H14" s="5"/>
      <c r="I14" s="5"/>
    </row>
    <row r="15" spans="1:24" s="4" customFormat="1" ht="13.8" thickBot="1">
      <c r="A15" s="75" t="s">
        <v>93</v>
      </c>
      <c r="B15" s="76" t="s">
        <v>115</v>
      </c>
      <c r="C15" s="172" t="s">
        <v>95</v>
      </c>
      <c r="D15" s="172" t="s">
        <v>96</v>
      </c>
      <c r="E15" s="172" t="s">
        <v>97</v>
      </c>
      <c r="F15" s="172" t="s">
        <v>98</v>
      </c>
      <c r="G15" s="172" t="s">
        <v>99</v>
      </c>
      <c r="H15" s="172" t="s">
        <v>100</v>
      </c>
      <c r="I15" s="172" t="s">
        <v>101</v>
      </c>
      <c r="J15" s="172" t="s">
        <v>102</v>
      </c>
      <c r="K15" s="172" t="s">
        <v>103</v>
      </c>
      <c r="L15" s="172" t="s">
        <v>104</v>
      </c>
      <c r="M15" s="172" t="s">
        <v>105</v>
      </c>
      <c r="N15" s="173" t="s">
        <v>106</v>
      </c>
    </row>
    <row r="16" spans="1:24" s="4" customFormat="1">
      <c r="A16" s="204" t="s">
        <v>48</v>
      </c>
      <c r="B16" s="166" t="s">
        <v>116</v>
      </c>
      <c r="C16" s="84">
        <v>3.597036917326347</v>
      </c>
      <c r="D16" s="84">
        <v>5.0882208021414073</v>
      </c>
      <c r="E16" s="84">
        <v>5.0882208021414073</v>
      </c>
      <c r="F16" s="84">
        <v>9.8383309592212083</v>
      </c>
      <c r="G16" s="84">
        <v>11.550996308332252</v>
      </c>
      <c r="H16" s="84">
        <v>14.145632588495699</v>
      </c>
      <c r="I16" s="84">
        <v>14.884104588276461</v>
      </c>
      <c r="J16" s="84">
        <v>15.532406298936626</v>
      </c>
      <c r="K16" s="84">
        <v>17.40927590759652</v>
      </c>
      <c r="L16" s="84">
        <v>18.350533534340109</v>
      </c>
      <c r="M16" s="84">
        <v>19.36869619440353</v>
      </c>
      <c r="N16" s="85">
        <v>19.078288562824618</v>
      </c>
    </row>
    <row r="17" spans="1:14" s="4" customFormat="1">
      <c r="A17" s="202"/>
      <c r="B17" s="167" t="s">
        <v>117</v>
      </c>
      <c r="C17" s="20">
        <v>68.436196421269258</v>
      </c>
      <c r="D17" s="20">
        <v>66.687928101473261</v>
      </c>
      <c r="E17" s="20">
        <v>66.687928101473261</v>
      </c>
      <c r="F17" s="20">
        <v>62.622079240630789</v>
      </c>
      <c r="G17" s="20">
        <v>62.08373034066922</v>
      </c>
      <c r="H17" s="20">
        <v>60.398782383953261</v>
      </c>
      <c r="I17" s="20">
        <v>59.127237048915561</v>
      </c>
      <c r="J17" s="20">
        <v>56.490663774521245</v>
      </c>
      <c r="K17" s="20">
        <v>56.619813436366741</v>
      </c>
      <c r="L17" s="20">
        <v>56.150469815838036</v>
      </c>
      <c r="M17" s="20">
        <v>54.199091527253707</v>
      </c>
      <c r="N17" s="77">
        <v>54.357673841858492</v>
      </c>
    </row>
    <row r="18" spans="1:14" s="4" customFormat="1">
      <c r="A18" s="202"/>
      <c r="B18" s="167" t="s">
        <v>118</v>
      </c>
      <c r="C18" s="20">
        <v>2.8066990428817093</v>
      </c>
      <c r="D18" s="20">
        <v>2.8947799132154914</v>
      </c>
      <c r="E18" s="20">
        <v>2.8947799132154914</v>
      </c>
      <c r="F18" s="20">
        <v>2.8344106107426668</v>
      </c>
      <c r="G18" s="20">
        <v>2.6287351900511884</v>
      </c>
      <c r="H18" s="20">
        <v>2.6038463633938851</v>
      </c>
      <c r="I18" s="20">
        <v>2.496559463706272</v>
      </c>
      <c r="J18" s="20">
        <v>2.4683718957144509</v>
      </c>
      <c r="K18" s="20">
        <v>2.3222241522025033</v>
      </c>
      <c r="L18" s="20">
        <v>2.5029342394636429</v>
      </c>
      <c r="M18" s="20">
        <v>3.0247641971721917</v>
      </c>
      <c r="N18" s="77">
        <v>3.432901796674896</v>
      </c>
    </row>
    <row r="19" spans="1:14" s="4" customFormat="1">
      <c r="A19" s="202"/>
      <c r="B19" s="167" t="s">
        <v>119</v>
      </c>
      <c r="C19" s="20">
        <v>6.338662488310157</v>
      </c>
      <c r="D19" s="20">
        <v>6.8972722877359098</v>
      </c>
      <c r="E19" s="20">
        <v>6.8972722877359098</v>
      </c>
      <c r="F19" s="20">
        <v>5.9708349050455753</v>
      </c>
      <c r="G19" s="20">
        <v>5.7335829964694733</v>
      </c>
      <c r="H19" s="20">
        <v>5.4767005888560858</v>
      </c>
      <c r="I19" s="20">
        <v>5.146156275320771</v>
      </c>
      <c r="J19" s="20">
        <v>4.9790714335659692</v>
      </c>
      <c r="K19" s="20">
        <v>4.3716797709498163</v>
      </c>
      <c r="L19" s="20">
        <v>4.4329913947448469</v>
      </c>
      <c r="M19" s="20">
        <v>4.8052503082408462</v>
      </c>
      <c r="N19" s="77">
        <v>4.6425181218582861</v>
      </c>
    </row>
    <row r="20" spans="1:14" s="4" customFormat="1">
      <c r="A20" s="202"/>
      <c r="B20" s="167" t="s">
        <v>120</v>
      </c>
      <c r="C20" s="20">
        <v>1.8908741389888122</v>
      </c>
      <c r="D20" s="20">
        <v>2.4645712868588054</v>
      </c>
      <c r="E20" s="20">
        <v>2.4645712868588054</v>
      </c>
      <c r="F20" s="20">
        <v>5.0378429370319191</v>
      </c>
      <c r="G20" s="20">
        <v>5.2106233705853766</v>
      </c>
      <c r="H20" s="20">
        <v>4.4182756351940622</v>
      </c>
      <c r="I20" s="20">
        <v>4.4936011063991304</v>
      </c>
      <c r="J20" s="20">
        <v>5.8920061862945277</v>
      </c>
      <c r="K20" s="20">
        <v>5.4034076322600599</v>
      </c>
      <c r="L20" s="20">
        <v>5.3547505401528079</v>
      </c>
      <c r="M20" s="20">
        <v>5.3882834977506757</v>
      </c>
      <c r="N20" s="77">
        <v>5.820703141094139</v>
      </c>
    </row>
    <row r="21" spans="1:14" s="4" customFormat="1">
      <c r="A21" s="202" t="s">
        <v>56</v>
      </c>
      <c r="B21" s="167" t="s">
        <v>116</v>
      </c>
      <c r="C21" s="20">
        <v>0.51468568025636607</v>
      </c>
      <c r="D21" s="20">
        <v>0.58556120001941847</v>
      </c>
      <c r="E21" s="20">
        <v>0.58556120001941847</v>
      </c>
      <c r="F21" s="20">
        <v>1.7997496639359973</v>
      </c>
      <c r="G21" s="20">
        <v>2.2172829267894256</v>
      </c>
      <c r="H21" s="20">
        <v>2.9342393365754176</v>
      </c>
      <c r="I21" s="20">
        <v>2.5917517785395519</v>
      </c>
      <c r="J21" s="20">
        <v>2.6682984242786434</v>
      </c>
      <c r="K21" s="20">
        <v>2.7025249563064189</v>
      </c>
      <c r="L21" s="20">
        <v>3.7428896704054115</v>
      </c>
      <c r="M21" s="20">
        <v>5.3091667257996518</v>
      </c>
      <c r="N21" s="77">
        <v>6.0470346610545835</v>
      </c>
    </row>
    <row r="22" spans="1:14" s="4" customFormat="1">
      <c r="A22" s="202"/>
      <c r="B22" s="167" t="s">
        <v>117</v>
      </c>
      <c r="C22" s="20">
        <v>68.778178500996361</v>
      </c>
      <c r="D22" s="20">
        <v>69.997479026974915</v>
      </c>
      <c r="E22" s="20">
        <v>69.997479026974915</v>
      </c>
      <c r="F22" s="20">
        <v>64.050862215022946</v>
      </c>
      <c r="G22" s="20">
        <v>63.182800214866553</v>
      </c>
      <c r="H22" s="20">
        <v>65.235557017683746</v>
      </c>
      <c r="I22" s="20">
        <v>60.816290922520885</v>
      </c>
      <c r="J22" s="20">
        <v>53.263374717775406</v>
      </c>
      <c r="K22" s="20">
        <v>56.436173666706566</v>
      </c>
      <c r="L22" s="20">
        <v>57.25922274381724</v>
      </c>
      <c r="M22" s="20">
        <v>56.008001214661085</v>
      </c>
      <c r="N22" s="77">
        <v>57.562447436015717</v>
      </c>
    </row>
    <row r="23" spans="1:14" s="4" customFormat="1">
      <c r="A23" s="202"/>
      <c r="B23" s="167" t="s">
        <v>118</v>
      </c>
      <c r="C23" s="20">
        <v>1.7520499144956989</v>
      </c>
      <c r="D23" s="20">
        <v>1.8496589585792953</v>
      </c>
      <c r="E23" s="20">
        <v>1.8496589585792953</v>
      </c>
      <c r="F23" s="20">
        <v>2.1688449171895972</v>
      </c>
      <c r="G23" s="20">
        <v>1.8519451907204387</v>
      </c>
      <c r="H23" s="20">
        <v>2.0072330678813586</v>
      </c>
      <c r="I23" s="20">
        <v>2.4204501860554544</v>
      </c>
      <c r="J23" s="20">
        <v>2.0999971418737147</v>
      </c>
      <c r="K23" s="20">
        <v>2.3734529243957136</v>
      </c>
      <c r="L23" s="20">
        <v>2.5485027577611374</v>
      </c>
      <c r="M23" s="20">
        <v>2.8729223451724528</v>
      </c>
      <c r="N23" s="77">
        <v>2.9736575645135725</v>
      </c>
    </row>
    <row r="24" spans="1:14" s="4" customFormat="1">
      <c r="A24" s="202"/>
      <c r="B24" s="167" t="s">
        <v>119</v>
      </c>
      <c r="C24" s="20">
        <v>3.751398401143196</v>
      </c>
      <c r="D24" s="20">
        <v>3.9327350412027515</v>
      </c>
      <c r="E24" s="20">
        <v>3.9327350412027515</v>
      </c>
      <c r="F24" s="20">
        <v>2.8317216849302103</v>
      </c>
      <c r="G24" s="20">
        <v>2.7642312985314215</v>
      </c>
      <c r="H24" s="20">
        <v>2.6217762359007626</v>
      </c>
      <c r="I24" s="20">
        <v>3.105514247345702</v>
      </c>
      <c r="J24" s="20">
        <v>3.6508650480249005</v>
      </c>
      <c r="K24" s="20">
        <v>3.2290719107846768</v>
      </c>
      <c r="L24" s="20">
        <v>3.3059015685687614</v>
      </c>
      <c r="M24" s="20">
        <v>4.3618124746945615</v>
      </c>
      <c r="N24" s="77">
        <v>4.3873614133147072</v>
      </c>
    </row>
    <row r="25" spans="1:14" s="4" customFormat="1">
      <c r="A25" s="202"/>
      <c r="B25" s="167" t="s">
        <v>120</v>
      </c>
      <c r="C25" s="20">
        <v>5.2087180921498488</v>
      </c>
      <c r="D25" s="20">
        <v>7.8883451680410319</v>
      </c>
      <c r="E25" s="20">
        <v>7.8883451680410319</v>
      </c>
      <c r="F25" s="20">
        <v>13.601150811258595</v>
      </c>
      <c r="G25" s="20">
        <v>13.659562224530728</v>
      </c>
      <c r="H25" s="20">
        <v>10.843718369024669</v>
      </c>
      <c r="I25" s="20">
        <v>12.910102179457429</v>
      </c>
      <c r="J25" s="20">
        <v>20.097748533952128</v>
      </c>
      <c r="K25" s="20">
        <v>17.944705652430336</v>
      </c>
      <c r="L25" s="20">
        <v>17.753426260625201</v>
      </c>
      <c r="M25" s="20">
        <v>15.442304642008908</v>
      </c>
      <c r="N25" s="77">
        <v>13.483732789113809</v>
      </c>
    </row>
    <row r="26" spans="1:14" s="4" customFormat="1">
      <c r="A26" s="202" t="s">
        <v>50</v>
      </c>
      <c r="B26" s="167" t="s">
        <v>116</v>
      </c>
      <c r="C26" s="20">
        <v>2.9338751413080093</v>
      </c>
      <c r="D26" s="20">
        <v>4.1810388365862456</v>
      </c>
      <c r="E26" s="20">
        <v>4.1810388365862456</v>
      </c>
      <c r="F26" s="20">
        <v>6.0488982382227681</v>
      </c>
      <c r="G26" s="20">
        <v>6.9310975908145416</v>
      </c>
      <c r="H26" s="20">
        <v>8.4109355069407403</v>
      </c>
      <c r="I26" s="20">
        <v>8.4843134725083829</v>
      </c>
      <c r="J26" s="20">
        <v>8.1688971645494046</v>
      </c>
      <c r="K26" s="20">
        <v>8.2537842556387062</v>
      </c>
      <c r="L26" s="20">
        <v>9.1947167361669901</v>
      </c>
      <c r="M26" s="20">
        <v>10.439895487624698</v>
      </c>
      <c r="N26" s="77">
        <v>10.625453989167442</v>
      </c>
    </row>
    <row r="27" spans="1:14" s="4" customFormat="1">
      <c r="A27" s="202"/>
      <c r="B27" s="167" t="s">
        <v>117</v>
      </c>
      <c r="C27" s="20">
        <v>64.543112952950949</v>
      </c>
      <c r="D27" s="20">
        <v>63.006403797191169</v>
      </c>
      <c r="E27" s="20">
        <v>63.006403797191169</v>
      </c>
      <c r="F27" s="20">
        <v>61.577175145780927</v>
      </c>
      <c r="G27" s="20">
        <v>61.676981306409004</v>
      </c>
      <c r="H27" s="20">
        <v>59.778687154392962</v>
      </c>
      <c r="I27" s="20">
        <v>59.703427318988098</v>
      </c>
      <c r="J27" s="20">
        <v>58.624814381324974</v>
      </c>
      <c r="K27" s="20">
        <v>59.40157758466713</v>
      </c>
      <c r="L27" s="20">
        <v>57.421753783890928</v>
      </c>
      <c r="M27" s="20">
        <v>56.044288320357339</v>
      </c>
      <c r="N27" s="77">
        <v>55.963747105724181</v>
      </c>
    </row>
    <row r="28" spans="1:14" s="4" customFormat="1">
      <c r="A28" s="202"/>
      <c r="B28" s="167" t="s">
        <v>118</v>
      </c>
      <c r="C28" s="20">
        <v>2.1268543444941774</v>
      </c>
      <c r="D28" s="20">
        <v>2.0333606083948506</v>
      </c>
      <c r="E28" s="20">
        <v>2.0333606083948506</v>
      </c>
      <c r="F28" s="20">
        <v>2.0053394316950395</v>
      </c>
      <c r="G28" s="20">
        <v>2.0821057950080597</v>
      </c>
      <c r="H28" s="20">
        <v>1.7354819291047558</v>
      </c>
      <c r="I28" s="20">
        <v>1.8363293027238423</v>
      </c>
      <c r="J28" s="20">
        <v>2.2077203835661723</v>
      </c>
      <c r="K28" s="20">
        <v>2.2746395645173747</v>
      </c>
      <c r="L28" s="20">
        <v>2.48094347139476</v>
      </c>
      <c r="M28" s="20">
        <v>2.7957097555865449</v>
      </c>
      <c r="N28" s="77">
        <v>2.6648010472729253</v>
      </c>
    </row>
    <row r="29" spans="1:14" s="4" customFormat="1">
      <c r="A29" s="202"/>
      <c r="B29" s="167" t="s">
        <v>119</v>
      </c>
      <c r="C29" s="20">
        <v>7.1045145262200942</v>
      </c>
      <c r="D29" s="20">
        <v>7.437543190575381</v>
      </c>
      <c r="E29" s="20">
        <v>7.437543190575381</v>
      </c>
      <c r="F29" s="20">
        <v>6.6741285758569928</v>
      </c>
      <c r="G29" s="20">
        <v>6.4228347464729136</v>
      </c>
      <c r="H29" s="20">
        <v>6.1248944790586348</v>
      </c>
      <c r="I29" s="20">
        <v>6.3146945001969739</v>
      </c>
      <c r="J29" s="20">
        <v>6.4043839201764179</v>
      </c>
      <c r="K29" s="20">
        <v>5.8762789746665112</v>
      </c>
      <c r="L29" s="20">
        <v>6.2407325479781282</v>
      </c>
      <c r="M29" s="20">
        <v>6.7309467508100278</v>
      </c>
      <c r="N29" s="77">
        <v>6.6420449340012633</v>
      </c>
    </row>
    <row r="30" spans="1:14" s="4" customFormat="1">
      <c r="A30" s="202"/>
      <c r="B30" s="167" t="s">
        <v>120</v>
      </c>
      <c r="C30" s="20">
        <v>3.2645548981824124</v>
      </c>
      <c r="D30" s="20">
        <v>3.6185235488174685</v>
      </c>
      <c r="E30" s="20">
        <v>3.6185235488174685</v>
      </c>
      <c r="F30" s="20">
        <v>6.7352937600114311</v>
      </c>
      <c r="G30" s="20">
        <v>6.7253785674296154</v>
      </c>
      <c r="H30" s="20">
        <v>6.5752034725148834</v>
      </c>
      <c r="I30" s="20">
        <v>6.2946316244030687</v>
      </c>
      <c r="J30" s="20">
        <v>7.2050820659374697</v>
      </c>
      <c r="K30" s="20">
        <v>7.2830055637148003</v>
      </c>
      <c r="L30" s="20">
        <v>7.5774906035567131</v>
      </c>
      <c r="M30" s="20">
        <v>7.4999757230911621</v>
      </c>
      <c r="N30" s="77">
        <v>8.2113853500081913</v>
      </c>
    </row>
    <row r="31" spans="1:14" s="4" customFormat="1">
      <c r="A31" s="202" t="s">
        <v>53</v>
      </c>
      <c r="B31" s="167" t="s">
        <v>116</v>
      </c>
      <c r="C31" s="20">
        <v>4.4826639786357818</v>
      </c>
      <c r="D31" s="20">
        <v>6.3584091147975936</v>
      </c>
      <c r="E31" s="20">
        <v>6.3584091147975936</v>
      </c>
      <c r="F31" s="20">
        <v>13.706738911857558</v>
      </c>
      <c r="G31" s="20">
        <v>16.273192731467955</v>
      </c>
      <c r="H31" s="20">
        <v>19.797695319486785</v>
      </c>
      <c r="I31" s="20">
        <v>21.253909310086552</v>
      </c>
      <c r="J31" s="20">
        <v>22.381418514689308</v>
      </c>
      <c r="K31" s="20">
        <v>25.252173048643712</v>
      </c>
      <c r="L31" s="20">
        <v>26.479992386732825</v>
      </c>
      <c r="M31" s="20">
        <v>27.19176243166137</v>
      </c>
      <c r="N31" s="77">
        <v>27.163090633280753</v>
      </c>
    </row>
    <row r="32" spans="1:14" s="4" customFormat="1">
      <c r="A32" s="202"/>
      <c r="B32" s="167" t="s">
        <v>117</v>
      </c>
      <c r="C32" s="20">
        <v>70.436674799887314</v>
      </c>
      <c r="D32" s="20">
        <v>68.068952291176501</v>
      </c>
      <c r="E32" s="20">
        <v>68.068952291176501</v>
      </c>
      <c r="F32" s="20">
        <v>62.941945606117898</v>
      </c>
      <c r="G32" s="20">
        <v>62.097127891784254</v>
      </c>
      <c r="H32" s="20">
        <v>59.834049094923856</v>
      </c>
      <c r="I32" s="20">
        <v>58.441052307082863</v>
      </c>
      <c r="J32" s="20">
        <v>55.809452176321564</v>
      </c>
      <c r="K32" s="20">
        <v>55.038029215140227</v>
      </c>
      <c r="L32" s="20">
        <v>55.19260157522298</v>
      </c>
      <c r="M32" s="20">
        <v>52.78240712688693</v>
      </c>
      <c r="N32" s="77">
        <v>52.67220677646548</v>
      </c>
    </row>
    <row r="33" spans="1:18" s="4" customFormat="1">
      <c r="A33" s="202"/>
      <c r="B33" s="167" t="s">
        <v>118</v>
      </c>
      <c r="C33" s="20">
        <v>3.3493703305116069</v>
      </c>
      <c r="D33" s="20">
        <v>3.5360582314887776</v>
      </c>
      <c r="E33" s="20">
        <v>3.5360582314887776</v>
      </c>
      <c r="F33" s="20">
        <v>3.4568084425899586</v>
      </c>
      <c r="G33" s="20">
        <v>3.1188499549284741</v>
      </c>
      <c r="H33" s="20">
        <v>3.2456625320521848</v>
      </c>
      <c r="I33" s="20">
        <v>2.9230164726353531</v>
      </c>
      <c r="J33" s="20">
        <v>2.6945061647241126</v>
      </c>
      <c r="K33" s="20">
        <v>2.3410006062853794</v>
      </c>
      <c r="L33" s="20">
        <v>2.5074690540014326</v>
      </c>
      <c r="M33" s="20">
        <v>3.187363912095873</v>
      </c>
      <c r="N33" s="77">
        <v>4.0190351375029207</v>
      </c>
    </row>
    <row r="34" spans="1:18" s="4" customFormat="1">
      <c r="A34" s="202"/>
      <c r="B34" s="167" t="s">
        <v>119</v>
      </c>
      <c r="C34" s="20">
        <v>6.3823147342568527</v>
      </c>
      <c r="D34" s="20">
        <v>7.1280317883909454</v>
      </c>
      <c r="E34" s="20">
        <v>7.1280317883909454</v>
      </c>
      <c r="F34" s="20">
        <v>6.2016294307623152</v>
      </c>
      <c r="G34" s="20">
        <v>5.9427504412410537</v>
      </c>
      <c r="H34" s="20">
        <v>5.6391619064143113</v>
      </c>
      <c r="I34" s="20">
        <v>4.8123440685763441</v>
      </c>
      <c r="J34" s="20">
        <v>4.3690669947947214</v>
      </c>
      <c r="K34" s="20">
        <v>3.6957959871193276</v>
      </c>
      <c r="L34" s="20">
        <v>3.573447953015048</v>
      </c>
      <c r="M34" s="20">
        <v>3.7519567778014213</v>
      </c>
      <c r="N34" s="77">
        <v>3.4139199962787594</v>
      </c>
    </row>
    <row r="35" spans="1:18" s="4" customFormat="1" ht="13.8" thickBot="1">
      <c r="A35" s="203"/>
      <c r="B35" s="168" t="s">
        <v>120</v>
      </c>
      <c r="C35" s="79">
        <v>0.58846030319785247</v>
      </c>
      <c r="D35" s="79">
        <v>0.90196872732502165</v>
      </c>
      <c r="E35" s="79">
        <v>0.90196872732502165</v>
      </c>
      <c r="F35" s="79">
        <v>2.288364893429327</v>
      </c>
      <c r="G35" s="79">
        <v>2.533568472517667</v>
      </c>
      <c r="H35" s="79">
        <v>1.8630878674357265</v>
      </c>
      <c r="I35" s="79">
        <v>1.7416977376732818</v>
      </c>
      <c r="J35" s="79">
        <v>2.4378396232993125</v>
      </c>
      <c r="K35" s="79">
        <v>2.1534228477575548</v>
      </c>
      <c r="L35" s="79">
        <v>1.7358231825326051</v>
      </c>
      <c r="M35" s="79">
        <v>2.3108277973183706</v>
      </c>
      <c r="N35" s="80">
        <v>2.7191629374820026</v>
      </c>
    </row>
    <row r="36" spans="1:18" s="4" customFormat="1"/>
    <row r="37" spans="1:18" s="4" customFormat="1" ht="13.8" thickBot="1">
      <c r="A37" s="13"/>
      <c r="B37" s="6"/>
      <c r="C37" s="7"/>
      <c r="D37" s="7"/>
      <c r="E37" s="7"/>
      <c r="F37" s="5" t="s">
        <v>114</v>
      </c>
      <c r="G37" s="7"/>
      <c r="H37" s="229" t="s">
        <v>198</v>
      </c>
      <c r="I37" s="7"/>
      <c r="J37" s="7"/>
      <c r="K37" s="7"/>
      <c r="L37" s="7"/>
      <c r="M37" s="7"/>
      <c r="N37" s="7"/>
      <c r="P37" s="5" t="s">
        <v>121</v>
      </c>
    </row>
    <row r="38" spans="1:18" s="4" customFormat="1" ht="12.75" customHeight="1">
      <c r="A38" s="55" t="s">
        <v>93</v>
      </c>
      <c r="B38" s="201" t="s">
        <v>117</v>
      </c>
      <c r="C38" s="201"/>
      <c r="D38" s="201"/>
      <c r="E38" s="201" t="s">
        <v>116</v>
      </c>
      <c r="F38" s="201"/>
      <c r="G38" s="201"/>
      <c r="H38" s="201" t="s">
        <v>118</v>
      </c>
      <c r="I38" s="201"/>
      <c r="J38" s="201"/>
      <c r="K38" s="201" t="s">
        <v>119</v>
      </c>
      <c r="L38" s="201"/>
      <c r="M38" s="205"/>
      <c r="N38" s="7"/>
      <c r="O38" s="198" t="s">
        <v>122</v>
      </c>
      <c r="P38" s="199"/>
      <c r="Q38" s="200"/>
    </row>
    <row r="39" spans="1:18" s="4" customFormat="1" ht="21" thickBot="1">
      <c r="A39" s="86" t="s">
        <v>93</v>
      </c>
      <c r="B39" s="87" t="s">
        <v>41</v>
      </c>
      <c r="C39" s="88" t="s">
        <v>39</v>
      </c>
      <c r="D39" s="88" t="s">
        <v>35</v>
      </c>
      <c r="E39" s="88" t="s">
        <v>41</v>
      </c>
      <c r="F39" s="88" t="s">
        <v>39</v>
      </c>
      <c r="G39" s="88" t="s">
        <v>35</v>
      </c>
      <c r="H39" s="88" t="s">
        <v>41</v>
      </c>
      <c r="I39" s="88" t="s">
        <v>39</v>
      </c>
      <c r="J39" s="88" t="s">
        <v>35</v>
      </c>
      <c r="K39" s="88" t="s">
        <v>41</v>
      </c>
      <c r="L39" s="88" t="s">
        <v>39</v>
      </c>
      <c r="M39" s="89" t="s">
        <v>35</v>
      </c>
      <c r="N39" s="7"/>
      <c r="O39" s="86" t="s">
        <v>93</v>
      </c>
      <c r="P39" s="88" t="s">
        <v>117</v>
      </c>
      <c r="Q39" s="89" t="s">
        <v>116</v>
      </c>
    </row>
    <row r="40" spans="1:18" s="4" customFormat="1">
      <c r="A40" s="174" t="s">
        <v>123</v>
      </c>
      <c r="B40" s="72">
        <v>75.283541</v>
      </c>
      <c r="C40" s="83">
        <v>66.144101000000006</v>
      </c>
      <c r="D40" s="83">
        <v>58.039493999999998</v>
      </c>
      <c r="E40" s="83">
        <v>8.0407709999999994</v>
      </c>
      <c r="F40" s="83">
        <v>18.520996</v>
      </c>
      <c r="G40" s="83">
        <v>25.263055000000001</v>
      </c>
      <c r="H40" s="84">
        <v>0.68778799999999995</v>
      </c>
      <c r="I40" s="84">
        <v>0.85573200000000005</v>
      </c>
      <c r="J40" s="84">
        <v>3.4530590000000001</v>
      </c>
      <c r="K40" s="84">
        <v>4.3680979999999998</v>
      </c>
      <c r="L40" s="84">
        <v>2.9171990000000001</v>
      </c>
      <c r="M40" s="85">
        <v>2.464788</v>
      </c>
      <c r="N40" s="7"/>
      <c r="O40" s="70" t="s">
        <v>123</v>
      </c>
      <c r="P40" s="83">
        <v>15.301879</v>
      </c>
      <c r="Q40" s="90">
        <v>17.808589999999999</v>
      </c>
      <c r="R40" s="179" t="s">
        <v>197</v>
      </c>
    </row>
    <row r="41" spans="1:18" s="4" customFormat="1">
      <c r="A41" s="175" t="s">
        <v>124</v>
      </c>
      <c r="B41" s="50">
        <v>73.436701999999997</v>
      </c>
      <c r="C41" s="51">
        <v>65.422527000000002</v>
      </c>
      <c r="D41" s="51">
        <v>62.186329999999998</v>
      </c>
      <c r="E41" s="51">
        <v>11.830455000000001</v>
      </c>
      <c r="F41" s="51">
        <v>19.414638</v>
      </c>
      <c r="G41" s="51">
        <v>23.594200000000001</v>
      </c>
      <c r="H41" s="20">
        <v>1.0776140000000001</v>
      </c>
      <c r="I41" s="20">
        <v>1.3790789999999999</v>
      </c>
      <c r="J41" s="20">
        <v>2.2295039999999999</v>
      </c>
      <c r="K41" s="20">
        <v>5.0287980000000001</v>
      </c>
      <c r="L41" s="20">
        <v>3.939435</v>
      </c>
      <c r="M41" s="77">
        <v>3.2868780000000002</v>
      </c>
      <c r="N41" s="7"/>
      <c r="O41" s="56" t="s">
        <v>124</v>
      </c>
      <c r="P41" s="51">
        <v>4.3380890000000001</v>
      </c>
      <c r="Q41" s="81">
        <v>4.4007969999999998</v>
      </c>
    </row>
    <row r="42" spans="1:18" s="4" customFormat="1">
      <c r="A42" s="175" t="s">
        <v>125</v>
      </c>
      <c r="B42" s="50">
        <v>67.317207999999994</v>
      </c>
      <c r="C42" s="51">
        <v>57.197837</v>
      </c>
      <c r="D42" s="51">
        <v>50.715347999999999</v>
      </c>
      <c r="E42" s="51">
        <v>14.818545</v>
      </c>
      <c r="F42" s="51">
        <v>24.126131000000001</v>
      </c>
      <c r="G42" s="51">
        <v>27.690572</v>
      </c>
      <c r="H42" s="20">
        <v>0.74360800000000005</v>
      </c>
      <c r="I42" s="20">
        <v>0.66196600000000005</v>
      </c>
      <c r="J42" s="20">
        <v>2.4344049999999999</v>
      </c>
      <c r="K42" s="20">
        <v>4.1840419999999998</v>
      </c>
      <c r="L42" s="20">
        <v>2.8230719999999998</v>
      </c>
      <c r="M42" s="77">
        <v>1.7976559999999999</v>
      </c>
      <c r="N42" s="7"/>
      <c r="O42" s="56" t="s">
        <v>125</v>
      </c>
      <c r="P42" s="51">
        <v>8.4985769999999992</v>
      </c>
      <c r="Q42" s="81">
        <v>12.406841999999999</v>
      </c>
    </row>
    <row r="43" spans="1:18" s="4" customFormat="1">
      <c r="A43" s="175" t="s">
        <v>126</v>
      </c>
      <c r="B43" s="50">
        <v>58.008394000000003</v>
      </c>
      <c r="C43" s="51">
        <v>51.275916000000002</v>
      </c>
      <c r="D43" s="51">
        <v>50.430081999999999</v>
      </c>
      <c r="E43" s="51">
        <v>13.461905</v>
      </c>
      <c r="F43" s="51">
        <v>23.135532999999999</v>
      </c>
      <c r="G43" s="51">
        <v>26.084482000000001</v>
      </c>
      <c r="H43" s="20">
        <v>6.4503380000000003</v>
      </c>
      <c r="I43" s="20">
        <v>6.5795940000000002</v>
      </c>
      <c r="J43" s="20">
        <v>6.4638460000000002</v>
      </c>
      <c r="K43" s="20">
        <v>5.3829140000000004</v>
      </c>
      <c r="L43" s="20">
        <v>4.4013499999999999</v>
      </c>
      <c r="M43" s="77">
        <v>3.742089</v>
      </c>
      <c r="N43" s="7"/>
      <c r="O43" s="56" t="s">
        <v>126</v>
      </c>
      <c r="P43" s="51">
        <v>2.9790230000000002</v>
      </c>
      <c r="Q43" s="81">
        <v>4.1199219999999999</v>
      </c>
    </row>
    <row r="44" spans="1:18" s="4" customFormat="1">
      <c r="A44" s="175" t="s">
        <v>127</v>
      </c>
      <c r="B44" s="50">
        <v>54.535122000000001</v>
      </c>
      <c r="C44" s="51">
        <v>49.588386999999997</v>
      </c>
      <c r="D44" s="51">
        <v>46.274431999999997</v>
      </c>
      <c r="E44" s="51">
        <v>19.468226000000001</v>
      </c>
      <c r="F44" s="51">
        <v>27.101607999999999</v>
      </c>
      <c r="G44" s="51">
        <v>31.872657</v>
      </c>
      <c r="H44" s="20">
        <v>5.8032870000000001</v>
      </c>
      <c r="I44" s="20">
        <v>4.97018</v>
      </c>
      <c r="J44" s="20">
        <v>5.739833</v>
      </c>
      <c r="K44" s="20">
        <v>3.4276879999999998</v>
      </c>
      <c r="L44" s="20">
        <v>2.319477</v>
      </c>
      <c r="M44" s="77">
        <v>1.40656</v>
      </c>
      <c r="N44" s="7"/>
      <c r="O44" s="56" t="s">
        <v>127</v>
      </c>
      <c r="P44" s="51">
        <v>3.7301289999999998</v>
      </c>
      <c r="Q44" s="81">
        <v>6.8694750000000004</v>
      </c>
    </row>
    <row r="45" spans="1:18" s="4" customFormat="1">
      <c r="A45" s="175" t="s">
        <v>128</v>
      </c>
      <c r="B45" s="50">
        <v>50.967733000000003</v>
      </c>
      <c r="C45" s="51">
        <v>48.496957000000002</v>
      </c>
      <c r="D45" s="51">
        <v>45.539827000000002</v>
      </c>
      <c r="E45" s="51">
        <v>28.835688999999999</v>
      </c>
      <c r="F45" s="51">
        <v>32.895608000000003</v>
      </c>
      <c r="G45" s="51">
        <v>31.078894999999999</v>
      </c>
      <c r="H45" s="20">
        <v>2.465611</v>
      </c>
      <c r="I45" s="20">
        <v>2.6855639999999998</v>
      </c>
      <c r="J45" s="20">
        <v>3.7569360000000001</v>
      </c>
      <c r="K45" s="20">
        <v>4.3671600000000002</v>
      </c>
      <c r="L45" s="20">
        <v>3.3344450000000001</v>
      </c>
      <c r="M45" s="77">
        <v>2.5341450000000001</v>
      </c>
      <c r="N45" s="7"/>
      <c r="O45" s="56" t="s">
        <v>128</v>
      </c>
      <c r="P45" s="51">
        <v>8.0163910000000005</v>
      </c>
      <c r="Q45" s="81">
        <v>14.627686000000001</v>
      </c>
    </row>
    <row r="46" spans="1:18" s="4" customFormat="1">
      <c r="A46" s="175" t="s">
        <v>129</v>
      </c>
      <c r="B46" s="50">
        <v>50.564933000000003</v>
      </c>
      <c r="C46" s="51">
        <v>45.558819999999997</v>
      </c>
      <c r="D46" s="51">
        <v>43.436813000000001</v>
      </c>
      <c r="E46" s="51">
        <v>20.362662</v>
      </c>
      <c r="F46" s="51">
        <v>28.203878</v>
      </c>
      <c r="G46" s="51">
        <v>29.173255999999999</v>
      </c>
      <c r="H46" s="20">
        <v>6.6544249999999998</v>
      </c>
      <c r="I46" s="20">
        <v>4.7224130000000004</v>
      </c>
      <c r="J46" s="20">
        <v>5.8103059999999997</v>
      </c>
      <c r="K46" s="20">
        <v>10.216609999999999</v>
      </c>
      <c r="L46" s="20">
        <v>6.6395039999999996</v>
      </c>
      <c r="M46" s="77">
        <v>6.2791699999999997</v>
      </c>
      <c r="N46" s="7"/>
      <c r="O46" s="56" t="s">
        <v>129</v>
      </c>
      <c r="P46" s="51">
        <v>10.089701</v>
      </c>
      <c r="Q46" s="81">
        <v>18.118732000000001</v>
      </c>
    </row>
    <row r="47" spans="1:18" s="4" customFormat="1">
      <c r="A47" s="175" t="s">
        <v>130</v>
      </c>
      <c r="B47" s="50">
        <v>67.794207999999998</v>
      </c>
      <c r="C47" s="51">
        <v>69.006476000000006</v>
      </c>
      <c r="D47" s="51">
        <v>61.811312999999998</v>
      </c>
      <c r="E47" s="51">
        <v>3.6895850000000001</v>
      </c>
      <c r="F47" s="51">
        <v>5.9980019999999996</v>
      </c>
      <c r="G47" s="51">
        <v>4.5788440000000001</v>
      </c>
      <c r="H47" s="20">
        <v>1.4767060000000001</v>
      </c>
      <c r="I47" s="20">
        <v>1.0172019999999999</v>
      </c>
      <c r="J47" s="20">
        <v>1.3461959999999999</v>
      </c>
      <c r="K47" s="20">
        <v>7.8552369999999998</v>
      </c>
      <c r="L47" s="20">
        <v>3.289514</v>
      </c>
      <c r="M47" s="77">
        <v>4.4138960000000003</v>
      </c>
      <c r="N47" s="7"/>
      <c r="O47" s="56" t="s">
        <v>130</v>
      </c>
      <c r="P47" s="51">
        <v>0.33771000000000001</v>
      </c>
      <c r="Q47" s="81">
        <v>6.6889000000000004E-2</v>
      </c>
    </row>
    <row r="48" spans="1:18" s="4" customFormat="1">
      <c r="A48" s="175" t="s">
        <v>131</v>
      </c>
      <c r="B48" s="50">
        <v>69.887653</v>
      </c>
      <c r="C48" s="51">
        <v>63.511305999999998</v>
      </c>
      <c r="D48" s="51">
        <v>59.534576000000001</v>
      </c>
      <c r="E48" s="51">
        <v>2.9256669999999998</v>
      </c>
      <c r="F48" s="51">
        <v>5.101972</v>
      </c>
      <c r="G48" s="51">
        <v>7.1953110000000002</v>
      </c>
      <c r="H48" s="20">
        <v>0.377328</v>
      </c>
      <c r="I48" s="20">
        <v>0.49807200000000001</v>
      </c>
      <c r="J48" s="20">
        <v>1.17317</v>
      </c>
      <c r="K48" s="20">
        <v>2.4302670000000002</v>
      </c>
      <c r="L48" s="20">
        <v>1.748615</v>
      </c>
      <c r="M48" s="77">
        <v>1.759539</v>
      </c>
      <c r="N48" s="7"/>
      <c r="O48" s="56" t="s">
        <v>131</v>
      </c>
      <c r="P48" s="51">
        <v>10.133048</v>
      </c>
      <c r="Q48" s="81">
        <v>3.2744840000000002</v>
      </c>
    </row>
    <row r="49" spans="1:30" s="4" customFormat="1">
      <c r="A49" s="175" t="s">
        <v>132</v>
      </c>
      <c r="B49" s="50">
        <v>64.243632000000005</v>
      </c>
      <c r="C49" s="51">
        <v>59.966276999999998</v>
      </c>
      <c r="D49" s="51">
        <v>59.535527000000002</v>
      </c>
      <c r="E49" s="51">
        <v>3.5784199999999999</v>
      </c>
      <c r="F49" s="51">
        <v>5.9358250000000004</v>
      </c>
      <c r="G49" s="51">
        <v>6.5995090000000003</v>
      </c>
      <c r="H49" s="20">
        <v>5.2497000000000002E-2</v>
      </c>
      <c r="I49" s="20">
        <v>0.31373699999999999</v>
      </c>
      <c r="J49" s="20">
        <v>0.93572500000000003</v>
      </c>
      <c r="K49" s="20">
        <v>10.769119</v>
      </c>
      <c r="L49" s="20">
        <v>8.0417769999999997</v>
      </c>
      <c r="M49" s="77">
        <v>7.2505259999999998</v>
      </c>
      <c r="N49" s="7"/>
      <c r="O49" s="56" t="s">
        <v>132</v>
      </c>
      <c r="P49" s="51">
        <v>0.81420300000000001</v>
      </c>
      <c r="Q49" s="81">
        <v>0.241318</v>
      </c>
    </row>
    <row r="50" spans="1:30" s="4" customFormat="1">
      <c r="A50" s="175" t="s">
        <v>133</v>
      </c>
      <c r="B50" s="50">
        <v>65.678331999999997</v>
      </c>
      <c r="C50" s="51">
        <v>62.999102999999998</v>
      </c>
      <c r="D50" s="51">
        <v>59.153426000000003</v>
      </c>
      <c r="E50" s="51">
        <v>1.7209639999999999</v>
      </c>
      <c r="F50" s="51">
        <v>1.7397670000000001</v>
      </c>
      <c r="G50" s="51">
        <v>3.3738130000000002</v>
      </c>
      <c r="H50" s="20">
        <v>3.7109040000000002</v>
      </c>
      <c r="I50" s="20">
        <v>3.8670360000000001</v>
      </c>
      <c r="J50" s="20">
        <v>5.9641599999999997</v>
      </c>
      <c r="K50" s="20">
        <v>9.6277179999999998</v>
      </c>
      <c r="L50" s="20">
        <v>11.470335</v>
      </c>
      <c r="M50" s="77">
        <v>13.113911</v>
      </c>
      <c r="N50" s="7"/>
      <c r="O50" s="56" t="s">
        <v>133</v>
      </c>
      <c r="P50" s="51">
        <v>0.41630899999999998</v>
      </c>
      <c r="Q50" s="81">
        <v>6.3486000000000001E-2</v>
      </c>
    </row>
    <row r="51" spans="1:30" s="4" customFormat="1">
      <c r="A51" s="175" t="s">
        <v>134</v>
      </c>
      <c r="B51" s="50">
        <v>64.871724999999998</v>
      </c>
      <c r="C51" s="51">
        <v>67.138566999999995</v>
      </c>
      <c r="D51" s="51">
        <v>65.705926000000005</v>
      </c>
      <c r="E51" s="51">
        <v>3.8438590000000001</v>
      </c>
      <c r="F51" s="51">
        <v>5.4193800000000003</v>
      </c>
      <c r="G51" s="51">
        <v>8.9273849999999992</v>
      </c>
      <c r="H51" s="20">
        <v>1.303064</v>
      </c>
      <c r="I51" s="20">
        <v>1.5488120000000001</v>
      </c>
      <c r="J51" s="20">
        <v>2.2171799999999999</v>
      </c>
      <c r="K51" s="20">
        <v>8.1166060000000009</v>
      </c>
      <c r="L51" s="20">
        <v>7.0245280000000001</v>
      </c>
      <c r="M51" s="77">
        <v>6.5779639999999997</v>
      </c>
      <c r="N51" s="7"/>
      <c r="O51" s="56" t="s">
        <v>134</v>
      </c>
      <c r="P51" s="51">
        <v>2.1567690000000002</v>
      </c>
      <c r="Q51" s="81">
        <v>0.78351199999999999</v>
      </c>
    </row>
    <row r="52" spans="1:30" s="4" customFormat="1">
      <c r="A52" s="175" t="s">
        <v>135</v>
      </c>
      <c r="B52" s="50">
        <v>58.364798</v>
      </c>
      <c r="C52" s="51">
        <v>56.577928</v>
      </c>
      <c r="D52" s="51">
        <v>52.885322000000002</v>
      </c>
      <c r="E52" s="51">
        <v>8.7673860000000001</v>
      </c>
      <c r="F52" s="51">
        <v>9.7346679999999992</v>
      </c>
      <c r="G52" s="51">
        <v>12.123514</v>
      </c>
      <c r="H52" s="20">
        <v>2.300192</v>
      </c>
      <c r="I52" s="20">
        <v>3.0982910000000001</v>
      </c>
      <c r="J52" s="20">
        <v>3.5200650000000002</v>
      </c>
      <c r="K52" s="20">
        <v>5.7520259999999999</v>
      </c>
      <c r="L52" s="20">
        <v>6.0182060000000002</v>
      </c>
      <c r="M52" s="77">
        <v>6.5575099999999997</v>
      </c>
      <c r="O52" s="56" t="s">
        <v>135</v>
      </c>
      <c r="P52" s="51">
        <v>18.236851000000001</v>
      </c>
      <c r="Q52" s="81">
        <v>11.178043000000001</v>
      </c>
    </row>
    <row r="53" spans="1:30" s="4" customFormat="1" ht="13.8" thickBot="1">
      <c r="A53" s="176" t="s">
        <v>136</v>
      </c>
      <c r="B53" s="60">
        <v>46.871493999999998</v>
      </c>
      <c r="C53" s="78">
        <v>46.824272000000001</v>
      </c>
      <c r="D53" s="78">
        <v>47.312902000000001</v>
      </c>
      <c r="E53" s="78">
        <v>13.713971000000001</v>
      </c>
      <c r="F53" s="78">
        <v>16.802980000000002</v>
      </c>
      <c r="G53" s="78">
        <v>17.308433000000001</v>
      </c>
      <c r="H53" s="79">
        <v>4.3212469999999996</v>
      </c>
      <c r="I53" s="79">
        <v>4.045477</v>
      </c>
      <c r="J53" s="79">
        <v>4.1607279999999998</v>
      </c>
      <c r="K53" s="79">
        <v>17.565446999999999</v>
      </c>
      <c r="L53" s="79">
        <v>17.699155999999999</v>
      </c>
      <c r="M53" s="80">
        <v>17.328676999999999</v>
      </c>
      <c r="O53" s="58" t="s">
        <v>136</v>
      </c>
      <c r="P53" s="78">
        <v>3.169705</v>
      </c>
      <c r="Q53" s="82">
        <v>3.1004130000000001</v>
      </c>
    </row>
    <row r="54" spans="1:30" s="4" customFormat="1">
      <c r="A54" s="13"/>
      <c r="B54" s="16"/>
      <c r="C54" s="7"/>
      <c r="D54" s="7"/>
      <c r="E54" s="7"/>
      <c r="F54" s="7"/>
      <c r="G54" s="7"/>
      <c r="H54" s="11"/>
      <c r="I54" s="11"/>
      <c r="J54" s="11"/>
      <c r="K54" s="11"/>
      <c r="L54" s="11"/>
      <c r="M54" s="11"/>
      <c r="O54" s="6"/>
      <c r="P54" s="7"/>
      <c r="Q54" s="7"/>
    </row>
    <row r="55" spans="1:30" s="4" customFormat="1" ht="13.8" thickBot="1">
      <c r="I55" s="5" t="s">
        <v>114</v>
      </c>
      <c r="J55" s="17"/>
      <c r="K55" s="17" t="s">
        <v>196</v>
      </c>
    </row>
    <row r="56" spans="1:30" s="4" customFormat="1" ht="31.8" thickBot="1">
      <c r="A56" s="192" t="s">
        <v>137</v>
      </c>
      <c r="B56" s="193"/>
      <c r="C56" s="193"/>
      <c r="D56" s="193"/>
      <c r="E56" s="193"/>
      <c r="F56" s="193"/>
      <c r="G56" s="193"/>
      <c r="H56" s="193"/>
      <c r="I56" s="193"/>
      <c r="J56" s="193"/>
      <c r="K56" s="193"/>
      <c r="L56" s="193"/>
      <c r="M56" s="193"/>
      <c r="N56" s="193"/>
      <c r="O56" s="193"/>
      <c r="P56" s="193"/>
      <c r="Q56" s="193"/>
      <c r="R56" s="193"/>
      <c r="S56" s="193"/>
      <c r="T56" s="194"/>
      <c r="V56" s="230" t="s">
        <v>116</v>
      </c>
      <c r="W56" s="231" t="s">
        <v>41</v>
      </c>
      <c r="X56" s="231" t="s">
        <v>35</v>
      </c>
      <c r="AA56" s="234" t="s">
        <v>117</v>
      </c>
      <c r="AB56" s="235" t="s">
        <v>41</v>
      </c>
      <c r="AC56" s="235" t="s">
        <v>35</v>
      </c>
    </row>
    <row r="57" spans="1:30" s="4" customFormat="1" ht="21" thickBot="1">
      <c r="A57" s="75" t="s">
        <v>138</v>
      </c>
      <c r="B57" s="76" t="s">
        <v>139</v>
      </c>
      <c r="C57" s="172" t="s">
        <v>41</v>
      </c>
      <c r="D57" s="172" t="s">
        <v>39</v>
      </c>
      <c r="E57" s="173" t="s">
        <v>35</v>
      </c>
      <c r="F57" s="75" t="s">
        <v>138</v>
      </c>
      <c r="G57" s="76" t="s">
        <v>139</v>
      </c>
      <c r="H57" s="172" t="s">
        <v>41</v>
      </c>
      <c r="I57" s="172" t="s">
        <v>39</v>
      </c>
      <c r="J57" s="173" t="s">
        <v>35</v>
      </c>
      <c r="K57" s="75" t="s">
        <v>138</v>
      </c>
      <c r="L57" s="76" t="s">
        <v>139</v>
      </c>
      <c r="M57" s="172" t="s">
        <v>41</v>
      </c>
      <c r="N57" s="172" t="s">
        <v>39</v>
      </c>
      <c r="O57" s="173" t="s">
        <v>35</v>
      </c>
      <c r="P57" s="75" t="s">
        <v>138</v>
      </c>
      <c r="Q57" s="76" t="s">
        <v>139</v>
      </c>
      <c r="R57" s="172" t="s">
        <v>41</v>
      </c>
      <c r="S57" s="172" t="s">
        <v>39</v>
      </c>
      <c r="T57" s="173" t="s">
        <v>35</v>
      </c>
      <c r="V57" s="232">
        <v>3000</v>
      </c>
      <c r="W57" s="233">
        <v>2.1</v>
      </c>
      <c r="X57" s="233">
        <v>3.4</v>
      </c>
      <c r="Y57" s="220">
        <f>X57/$X$62</f>
        <v>0.17258883248730963</v>
      </c>
      <c r="AA57" s="236">
        <v>3000</v>
      </c>
      <c r="AB57" s="237">
        <v>9.8000000000000007</v>
      </c>
      <c r="AC57" s="237">
        <v>5.7</v>
      </c>
      <c r="AD57" s="220">
        <f>AC57/$AC$62</f>
        <v>0.12808988764044943</v>
      </c>
    </row>
    <row r="58" spans="1:30" s="4" customFormat="1" ht="16.2" thickBot="1">
      <c r="A58" s="70" t="s">
        <v>117</v>
      </c>
      <c r="B58" s="71" t="s">
        <v>140</v>
      </c>
      <c r="C58" s="72">
        <v>1.9280980000000001</v>
      </c>
      <c r="D58" s="72">
        <v>1.449805</v>
      </c>
      <c r="E58" s="73">
        <v>1.0423150000000001</v>
      </c>
      <c r="F58" s="70" t="s">
        <v>116</v>
      </c>
      <c r="G58" s="71" t="s">
        <v>141</v>
      </c>
      <c r="H58" s="74" t="s">
        <v>142</v>
      </c>
      <c r="I58" s="72">
        <v>0.22589100000000001</v>
      </c>
      <c r="J58" s="73">
        <v>0.52536099999999997</v>
      </c>
      <c r="K58" s="70" t="s">
        <v>118</v>
      </c>
      <c r="L58" s="71" t="s">
        <v>140</v>
      </c>
      <c r="M58" s="72">
        <v>1.8799999999999999E-4</v>
      </c>
      <c r="N58" s="72">
        <v>1.4100000000000001E-4</v>
      </c>
      <c r="O58" s="73">
        <v>1.3200000000000001E-4</v>
      </c>
      <c r="P58" s="70" t="s">
        <v>119</v>
      </c>
      <c r="Q58" s="71" t="s">
        <v>143</v>
      </c>
      <c r="R58" s="72">
        <v>0.25864799999999999</v>
      </c>
      <c r="S58" s="72">
        <v>0.23677000000000001</v>
      </c>
      <c r="T58" s="73">
        <v>0.27540999999999999</v>
      </c>
      <c r="V58" s="232">
        <v>400</v>
      </c>
      <c r="W58" s="233">
        <v>2.5</v>
      </c>
      <c r="X58" s="233">
        <v>3.3</v>
      </c>
      <c r="Y58" s="220">
        <f t="shared" ref="Y58:Y61" si="0">X58/$X$62</f>
        <v>0.16751269035532995</v>
      </c>
      <c r="AA58" s="236">
        <v>400</v>
      </c>
      <c r="AB58" s="237">
        <v>15</v>
      </c>
      <c r="AC58" s="237">
        <v>10.1</v>
      </c>
      <c r="AD58" s="220">
        <f t="shared" ref="AD58:AD61" si="1">AC58/$AC$62</f>
        <v>0.22696629213483147</v>
      </c>
    </row>
    <row r="59" spans="1:30" s="4" customFormat="1" ht="16.2" thickBot="1">
      <c r="A59" s="56" t="s">
        <v>117</v>
      </c>
      <c r="B59" s="52" t="s">
        <v>144</v>
      </c>
      <c r="C59" s="50">
        <v>2.045893</v>
      </c>
      <c r="D59" s="50">
        <v>1.4575640000000001</v>
      </c>
      <c r="E59" s="57">
        <v>1.20488</v>
      </c>
      <c r="F59" s="56" t="s">
        <v>116</v>
      </c>
      <c r="G59" s="52" t="s">
        <v>145</v>
      </c>
      <c r="H59" s="53" t="s">
        <v>142</v>
      </c>
      <c r="I59" s="50">
        <v>0.71089199999999997</v>
      </c>
      <c r="J59" s="57">
        <v>1.6673500000000001</v>
      </c>
      <c r="K59" s="56" t="s">
        <v>118</v>
      </c>
      <c r="L59" s="52" t="s">
        <v>146</v>
      </c>
      <c r="M59" s="50">
        <v>1.033301</v>
      </c>
      <c r="N59" s="50">
        <v>0.71169899999999997</v>
      </c>
      <c r="O59" s="57">
        <v>0.67501999999999995</v>
      </c>
      <c r="P59" s="56" t="s">
        <v>119</v>
      </c>
      <c r="Q59" s="52" t="s">
        <v>147</v>
      </c>
      <c r="R59" s="50">
        <v>0.36929000000000001</v>
      </c>
      <c r="S59" s="50">
        <v>0.237647</v>
      </c>
      <c r="T59" s="57">
        <v>0.140483</v>
      </c>
      <c r="V59" s="232">
        <v>4500</v>
      </c>
      <c r="W59" s="233">
        <v>3.7</v>
      </c>
      <c r="X59" s="233">
        <v>3.4</v>
      </c>
      <c r="Y59" s="220">
        <f t="shared" si="0"/>
        <v>0.17258883248730963</v>
      </c>
      <c r="AA59" s="236">
        <v>4500</v>
      </c>
      <c r="AB59" s="237">
        <v>3.5</v>
      </c>
      <c r="AC59" s="237">
        <v>7.7</v>
      </c>
      <c r="AD59" s="220">
        <f t="shared" si="1"/>
        <v>0.17303370786516856</v>
      </c>
    </row>
    <row r="60" spans="1:30" s="4" customFormat="1" ht="16.2" thickBot="1">
      <c r="A60" s="56" t="s">
        <v>117</v>
      </c>
      <c r="B60" s="52" t="s">
        <v>148</v>
      </c>
      <c r="C60" s="50">
        <v>1.690331</v>
      </c>
      <c r="D60" s="50">
        <v>1.1978519999999999</v>
      </c>
      <c r="E60" s="57">
        <v>0.96507500000000002</v>
      </c>
      <c r="F60" s="56" t="s">
        <v>116</v>
      </c>
      <c r="G60" s="52" t="s">
        <v>149</v>
      </c>
      <c r="H60" s="53" t="s">
        <v>142</v>
      </c>
      <c r="I60" s="50">
        <v>0.50790199999999996</v>
      </c>
      <c r="J60" s="57">
        <v>0.92245699999999997</v>
      </c>
      <c r="K60" s="56" t="s">
        <v>118</v>
      </c>
      <c r="L60" s="52" t="s">
        <v>150</v>
      </c>
      <c r="M60" s="50">
        <v>0.48786099999999999</v>
      </c>
      <c r="N60" s="50">
        <v>0.99692000000000003</v>
      </c>
      <c r="O60" s="57">
        <v>0.77119000000000004</v>
      </c>
      <c r="P60" s="56" t="s">
        <v>119</v>
      </c>
      <c r="Q60" s="52" t="s">
        <v>151</v>
      </c>
      <c r="R60" s="50">
        <v>0.33964899999999998</v>
      </c>
      <c r="S60" s="50">
        <v>0.32202199999999997</v>
      </c>
      <c r="T60" s="57">
        <v>0.318106</v>
      </c>
      <c r="V60" s="232">
        <v>800</v>
      </c>
      <c r="W60" s="233">
        <v>3.1</v>
      </c>
      <c r="X60" s="233">
        <v>4.0999999999999996</v>
      </c>
      <c r="Y60" s="220">
        <f t="shared" si="0"/>
        <v>0.2081218274111675</v>
      </c>
      <c r="AA60" s="236">
        <v>800</v>
      </c>
      <c r="AB60" s="237">
        <v>12</v>
      </c>
      <c r="AC60" s="237">
        <v>9.3000000000000007</v>
      </c>
      <c r="AD60" s="220">
        <f t="shared" si="1"/>
        <v>0.20898876404494385</v>
      </c>
    </row>
    <row r="61" spans="1:30" s="4" customFormat="1" ht="16.2" thickBot="1">
      <c r="A61" s="56" t="s">
        <v>117</v>
      </c>
      <c r="B61" s="223" t="s">
        <v>152</v>
      </c>
      <c r="C61" s="225">
        <v>9.7519069999999992</v>
      </c>
      <c r="D61" s="225">
        <v>7.3775680000000001</v>
      </c>
      <c r="E61" s="226">
        <v>5.6982780000000002</v>
      </c>
      <c r="F61" s="56" t="s">
        <v>116</v>
      </c>
      <c r="G61" s="52" t="s">
        <v>152</v>
      </c>
      <c r="H61" s="50">
        <v>8.2776000000000002E-2</v>
      </c>
      <c r="I61" s="50">
        <v>9.1886999999999996E-2</v>
      </c>
      <c r="J61" s="57">
        <v>9.5976000000000006E-2</v>
      </c>
      <c r="K61" s="56" t="s">
        <v>118</v>
      </c>
      <c r="L61" s="52" t="s">
        <v>151</v>
      </c>
      <c r="M61" s="50">
        <v>1.220145</v>
      </c>
      <c r="N61" s="50">
        <v>6.0562999999999999E-2</v>
      </c>
      <c r="O61" s="57">
        <v>4.8580000000000003E-3</v>
      </c>
      <c r="P61" s="56" t="s">
        <v>119</v>
      </c>
      <c r="Q61" s="52" t="s">
        <v>152</v>
      </c>
      <c r="R61" s="50">
        <v>0.16044800000000001</v>
      </c>
      <c r="S61" s="50">
        <v>0.183396</v>
      </c>
      <c r="T61" s="57">
        <v>0.19560900000000001</v>
      </c>
      <c r="V61" s="232" t="s">
        <v>199</v>
      </c>
      <c r="W61" s="233">
        <v>1.2</v>
      </c>
      <c r="X61" s="233">
        <v>5.5</v>
      </c>
      <c r="Y61" s="220">
        <f t="shared" si="0"/>
        <v>0.27918781725888325</v>
      </c>
      <c r="AA61" s="236" t="s">
        <v>199</v>
      </c>
      <c r="AB61" s="237">
        <v>14.5</v>
      </c>
      <c r="AC61" s="237">
        <v>11.7</v>
      </c>
      <c r="AD61" s="220">
        <f t="shared" si="1"/>
        <v>0.26292134831460673</v>
      </c>
    </row>
    <row r="62" spans="1:30" s="4" customFormat="1">
      <c r="A62" s="56" t="s">
        <v>117</v>
      </c>
      <c r="B62" s="52" t="s">
        <v>141</v>
      </c>
      <c r="C62" s="50">
        <v>1.3977580000000001</v>
      </c>
      <c r="D62" s="50">
        <v>1.6006990000000001</v>
      </c>
      <c r="E62" s="57">
        <v>1.071167</v>
      </c>
      <c r="F62" s="56" t="s">
        <v>116</v>
      </c>
      <c r="G62" s="52" t="s">
        <v>153</v>
      </c>
      <c r="H62" s="50">
        <v>0.179482</v>
      </c>
      <c r="I62" s="50">
        <v>0.43950699999999998</v>
      </c>
      <c r="J62" s="57">
        <v>0.48768800000000001</v>
      </c>
      <c r="K62" s="56" t="s">
        <v>118</v>
      </c>
      <c r="L62" s="52" t="s">
        <v>154</v>
      </c>
      <c r="M62" s="50">
        <v>0.31503999999999999</v>
      </c>
      <c r="N62" s="50">
        <v>0.117461</v>
      </c>
      <c r="O62" s="57">
        <v>1.206E-2</v>
      </c>
      <c r="P62" s="56" t="s">
        <v>119</v>
      </c>
      <c r="Q62" s="52" t="s">
        <v>155</v>
      </c>
      <c r="R62" s="50">
        <v>2.0688000000000002E-2</v>
      </c>
      <c r="S62" s="50">
        <v>5.0019000000000001E-2</v>
      </c>
      <c r="T62" s="57">
        <v>2.7734999999999999E-2</v>
      </c>
      <c r="X62" s="4">
        <f>SUM(X57:X61)</f>
        <v>19.7</v>
      </c>
      <c r="AC62" s="4">
        <f>SUM(AC57:AC61)</f>
        <v>44.5</v>
      </c>
    </row>
    <row r="63" spans="1:30" s="4" customFormat="1">
      <c r="A63" s="56" t="s">
        <v>117</v>
      </c>
      <c r="B63" s="223" t="s">
        <v>155</v>
      </c>
      <c r="C63" s="225">
        <v>14.960084</v>
      </c>
      <c r="D63" s="225">
        <v>13.106985999999999</v>
      </c>
      <c r="E63" s="226">
        <v>10.114511</v>
      </c>
      <c r="F63" s="56" t="s">
        <v>116</v>
      </c>
      <c r="G63" s="223" t="s">
        <v>152</v>
      </c>
      <c r="H63" s="225">
        <v>2.0597919999999998</v>
      </c>
      <c r="I63" s="225">
        <v>2.7260040000000001</v>
      </c>
      <c r="J63" s="226">
        <v>3.3711139999999999</v>
      </c>
      <c r="K63" s="56" t="s">
        <v>118</v>
      </c>
      <c r="L63" s="52" t="s">
        <v>155</v>
      </c>
      <c r="M63" s="50">
        <v>0.43010700000000002</v>
      </c>
      <c r="N63" s="50">
        <v>1.323151</v>
      </c>
      <c r="O63" s="57">
        <v>1.1052120000000001</v>
      </c>
      <c r="P63" s="56" t="s">
        <v>119</v>
      </c>
      <c r="Q63" s="52" t="s">
        <v>156</v>
      </c>
      <c r="R63" s="50">
        <v>5.5045999999999998E-2</v>
      </c>
      <c r="S63" s="50">
        <v>3.1208E-2</v>
      </c>
      <c r="T63" s="57">
        <v>8.8870000000000008E-3</v>
      </c>
    </row>
    <row r="64" spans="1:30" s="4" customFormat="1">
      <c r="A64" s="56" t="s">
        <v>117</v>
      </c>
      <c r="B64" s="52" t="s">
        <v>145</v>
      </c>
      <c r="C64" s="50">
        <v>2.740907</v>
      </c>
      <c r="D64" s="50">
        <v>2.1653030000000002</v>
      </c>
      <c r="E64" s="57">
        <v>2.313205</v>
      </c>
      <c r="F64" s="56" t="s">
        <v>116</v>
      </c>
      <c r="G64" s="223" t="s">
        <v>155</v>
      </c>
      <c r="H64" s="225">
        <v>2.5286460000000002</v>
      </c>
      <c r="I64" s="225">
        <v>3.0678049999999999</v>
      </c>
      <c r="J64" s="226">
        <v>3.3174589999999999</v>
      </c>
      <c r="K64" s="56" t="s">
        <v>118</v>
      </c>
      <c r="L64" s="52" t="s">
        <v>157</v>
      </c>
      <c r="M64" s="50">
        <v>6.3229999999999996E-3</v>
      </c>
      <c r="N64" s="50">
        <v>0.24907299999999999</v>
      </c>
      <c r="O64" s="57">
        <v>0.29015800000000003</v>
      </c>
      <c r="P64" s="56" t="s">
        <v>119</v>
      </c>
      <c r="Q64" s="52" t="s">
        <v>157</v>
      </c>
      <c r="R64" s="50">
        <v>7.5579999999999996E-3</v>
      </c>
      <c r="S64" s="50">
        <v>0.14222699999999999</v>
      </c>
      <c r="T64" s="57">
        <v>0.60678299999999996</v>
      </c>
    </row>
    <row r="65" spans="1:20" s="4" customFormat="1">
      <c r="A65" s="56" t="s">
        <v>117</v>
      </c>
      <c r="B65" s="223" t="s">
        <v>157</v>
      </c>
      <c r="C65" s="225">
        <v>3.5246019999999998</v>
      </c>
      <c r="D65" s="225">
        <v>6.1743050000000004</v>
      </c>
      <c r="E65" s="226">
        <v>7.6934829999999996</v>
      </c>
      <c r="F65" s="56" t="s">
        <v>116</v>
      </c>
      <c r="G65" s="223" t="s">
        <v>157</v>
      </c>
      <c r="H65" s="225">
        <v>3.6620159999999999</v>
      </c>
      <c r="I65" s="225">
        <v>3.7796639999999999</v>
      </c>
      <c r="J65" s="226">
        <v>3.3702329999999998</v>
      </c>
      <c r="K65" s="56" t="s">
        <v>118</v>
      </c>
      <c r="L65" s="52" t="s">
        <v>158</v>
      </c>
      <c r="M65" s="50">
        <v>1.6869689999999999</v>
      </c>
      <c r="N65" s="50">
        <v>0.117641</v>
      </c>
      <c r="O65" s="57">
        <v>1.6063999999999998E-2</v>
      </c>
      <c r="P65" s="56" t="s">
        <v>119</v>
      </c>
      <c r="Q65" s="52" t="s">
        <v>159</v>
      </c>
      <c r="R65" s="50">
        <v>0.33746599999999999</v>
      </c>
      <c r="S65" s="50">
        <v>0.21138499999999999</v>
      </c>
      <c r="T65" s="57">
        <v>0.12628900000000001</v>
      </c>
    </row>
    <row r="66" spans="1:20" s="4" customFormat="1">
      <c r="A66" s="56" t="s">
        <v>117</v>
      </c>
      <c r="B66" s="52" t="s">
        <v>160</v>
      </c>
      <c r="C66" s="50">
        <v>1.5803309999999999</v>
      </c>
      <c r="D66" s="50">
        <v>1.314845</v>
      </c>
      <c r="E66" s="57">
        <v>1.0587420000000001</v>
      </c>
      <c r="F66" s="56" t="s">
        <v>116</v>
      </c>
      <c r="G66" s="52" t="s">
        <v>161</v>
      </c>
      <c r="H66" s="50">
        <v>0.92140599999999995</v>
      </c>
      <c r="I66" s="50">
        <v>1.454736</v>
      </c>
      <c r="J66" s="57">
        <v>1.778564</v>
      </c>
      <c r="K66" s="56" t="s">
        <v>118</v>
      </c>
      <c r="L66" s="52" t="s">
        <v>161</v>
      </c>
      <c r="M66" s="50">
        <v>1.1001E-2</v>
      </c>
      <c r="N66" s="50">
        <v>0.113894</v>
      </c>
      <c r="O66" s="57">
        <v>0.46460200000000001</v>
      </c>
      <c r="P66" s="56" t="s">
        <v>119</v>
      </c>
      <c r="Q66" s="52" t="s">
        <v>162</v>
      </c>
      <c r="R66" s="50">
        <v>0.117537</v>
      </c>
      <c r="S66" s="50">
        <v>6.9473999999999994E-2</v>
      </c>
      <c r="T66" s="57">
        <v>0.114736</v>
      </c>
    </row>
    <row r="67" spans="1:20" s="4" customFormat="1">
      <c r="A67" s="56" t="s">
        <v>117</v>
      </c>
      <c r="B67" s="52" t="s">
        <v>161</v>
      </c>
      <c r="C67" s="50">
        <v>1.4145270000000001</v>
      </c>
      <c r="D67" s="50">
        <v>2.1136300000000001</v>
      </c>
      <c r="E67" s="57">
        <v>2.6462460000000001</v>
      </c>
      <c r="F67" s="56" t="s">
        <v>116</v>
      </c>
      <c r="G67" s="223" t="s">
        <v>163</v>
      </c>
      <c r="H67" s="225">
        <v>3.1136089999999998</v>
      </c>
      <c r="I67" s="225">
        <v>4.6174660000000003</v>
      </c>
      <c r="J67" s="226">
        <v>4.1114030000000001</v>
      </c>
      <c r="K67" s="56" t="s">
        <v>118</v>
      </c>
      <c r="L67" s="52" t="s">
        <v>163</v>
      </c>
      <c r="M67" s="50">
        <v>0.38619399999999998</v>
      </c>
      <c r="N67" s="50">
        <v>0.953538</v>
      </c>
      <c r="O67" s="57">
        <v>1.012384</v>
      </c>
      <c r="P67" s="56" t="s">
        <v>119</v>
      </c>
      <c r="Q67" s="52" t="s">
        <v>161</v>
      </c>
      <c r="R67" s="50">
        <v>0.44262699999999999</v>
      </c>
      <c r="S67" s="50">
        <v>0.71977999999999998</v>
      </c>
      <c r="T67" s="57">
        <v>1.1241509999999999</v>
      </c>
    </row>
    <row r="68" spans="1:20" s="4" customFormat="1">
      <c r="A68" s="56" t="s">
        <v>117</v>
      </c>
      <c r="B68" s="52" t="s">
        <v>149</v>
      </c>
      <c r="C68" s="50">
        <v>1.7134560000000001</v>
      </c>
      <c r="D68" s="50">
        <v>1.752867</v>
      </c>
      <c r="E68" s="57">
        <v>1.437494</v>
      </c>
      <c r="F68" s="56" t="s">
        <v>116</v>
      </c>
      <c r="G68" s="54"/>
      <c r="H68" s="54"/>
      <c r="I68" s="54"/>
      <c r="J68" s="62"/>
      <c r="K68" s="66"/>
      <c r="L68" s="54"/>
      <c r="M68" s="54"/>
      <c r="N68" s="54"/>
      <c r="O68" s="62"/>
      <c r="P68" s="56" t="s">
        <v>119</v>
      </c>
      <c r="Q68" s="52" t="s">
        <v>163</v>
      </c>
      <c r="R68" s="50">
        <v>5.1879999999999999E-3</v>
      </c>
      <c r="S68" s="50">
        <v>2.2941E-2</v>
      </c>
      <c r="T68" s="57">
        <v>0.15564800000000001</v>
      </c>
    </row>
    <row r="69" spans="1:20" s="4" customFormat="1" ht="15" thickBot="1">
      <c r="A69" s="58" t="s">
        <v>117</v>
      </c>
      <c r="B69" s="224" t="s">
        <v>163</v>
      </c>
      <c r="C69" s="227">
        <v>11.988744000000001</v>
      </c>
      <c r="D69" s="227">
        <v>9.7451500000000006</v>
      </c>
      <c r="E69" s="228">
        <v>9.2799759999999996</v>
      </c>
      <c r="F69" s="63"/>
      <c r="G69" s="64"/>
      <c r="H69" s="64"/>
      <c r="I69" s="64"/>
      <c r="J69" s="65"/>
      <c r="K69" s="67"/>
      <c r="L69" s="68"/>
      <c r="M69" s="68"/>
      <c r="N69" s="68"/>
      <c r="O69" s="69"/>
      <c r="P69" s="58" t="s">
        <v>119</v>
      </c>
      <c r="Q69" s="59" t="s">
        <v>164</v>
      </c>
      <c r="R69" s="60">
        <v>0.110723</v>
      </c>
      <c r="S69" s="60">
        <v>8.4130999999999997E-2</v>
      </c>
      <c r="T69" s="61">
        <v>4.8899999999999999E-2</v>
      </c>
    </row>
    <row r="70" spans="1:20" s="4" customFormat="1" ht="14.4">
      <c r="A70" s="3"/>
      <c r="B70" s="3"/>
      <c r="C70" s="3"/>
      <c r="D70" s="3"/>
      <c r="E70" s="3"/>
      <c r="F70" s="3"/>
      <c r="G70" s="3"/>
      <c r="H70" s="3"/>
      <c r="I70" s="3"/>
      <c r="J70" s="3"/>
    </row>
    <row r="71" spans="1:20" s="4" customFormat="1"/>
    <row r="72" spans="1:20" s="4" customFormat="1" ht="13.8" thickBot="1"/>
    <row r="73" spans="1:20" s="4" customFormat="1" ht="14.4">
      <c r="A73" s="120"/>
      <c r="B73" s="121"/>
      <c r="C73" s="121"/>
      <c r="D73" s="121" t="s">
        <v>20</v>
      </c>
      <c r="E73" s="121"/>
      <c r="F73" s="121"/>
      <c r="G73" s="121"/>
      <c r="H73" s="122"/>
      <c r="I73" s="122"/>
      <c r="J73" s="122"/>
      <c r="K73" s="122"/>
      <c r="L73" s="122"/>
      <c r="M73" s="123"/>
    </row>
    <row r="74" spans="1:20" s="4" customFormat="1">
      <c r="A74" s="127" t="s">
        <v>93</v>
      </c>
      <c r="B74" s="212" t="s">
        <v>117</v>
      </c>
      <c r="C74" s="212"/>
      <c r="D74" s="212"/>
      <c r="E74" s="212" t="s">
        <v>116</v>
      </c>
      <c r="F74" s="212"/>
      <c r="G74" s="212"/>
      <c r="H74" s="187" t="s">
        <v>118</v>
      </c>
      <c r="I74" s="187"/>
      <c r="J74" s="187"/>
      <c r="K74" s="187" t="s">
        <v>119</v>
      </c>
      <c r="L74" s="187"/>
      <c r="M74" s="188"/>
    </row>
    <row r="75" spans="1:20" s="4" customFormat="1" ht="21" thickBot="1">
      <c r="A75" s="128" t="s">
        <v>93</v>
      </c>
      <c r="B75" s="129" t="s">
        <v>41</v>
      </c>
      <c r="C75" s="129" t="s">
        <v>39</v>
      </c>
      <c r="D75" s="129" t="s">
        <v>35</v>
      </c>
      <c r="E75" s="129" t="s">
        <v>41</v>
      </c>
      <c r="F75" s="129" t="s">
        <v>39</v>
      </c>
      <c r="G75" s="129" t="s">
        <v>35</v>
      </c>
      <c r="H75" s="130" t="s">
        <v>41</v>
      </c>
      <c r="I75" s="130" t="s">
        <v>39</v>
      </c>
      <c r="J75" s="130" t="s">
        <v>35</v>
      </c>
      <c r="K75" s="130" t="s">
        <v>41</v>
      </c>
      <c r="L75" s="130" t="s">
        <v>39</v>
      </c>
      <c r="M75" s="131" t="s">
        <v>35</v>
      </c>
      <c r="N75" s="3"/>
      <c r="O75" s="3"/>
    </row>
    <row r="76" spans="1:20" s="4" customFormat="1" ht="14.4">
      <c r="A76" s="70" t="s">
        <v>123</v>
      </c>
      <c r="B76" s="124">
        <v>88.333332999999996</v>
      </c>
      <c r="C76" s="124">
        <v>81.916667000000004</v>
      </c>
      <c r="D76" s="124">
        <v>79.083332999999996</v>
      </c>
      <c r="E76" s="124">
        <v>31.25</v>
      </c>
      <c r="F76" s="124">
        <v>34.166666999999997</v>
      </c>
      <c r="G76" s="124">
        <v>43.166666999999997</v>
      </c>
      <c r="H76" s="125">
        <v>12.833333</v>
      </c>
      <c r="I76" s="125">
        <v>7</v>
      </c>
      <c r="J76" s="125">
        <v>8.6666670000000003</v>
      </c>
      <c r="K76" s="125">
        <v>35.5</v>
      </c>
      <c r="L76" s="125">
        <v>24.083333</v>
      </c>
      <c r="M76" s="126">
        <v>16.75</v>
      </c>
      <c r="N76" s="3"/>
      <c r="O76" s="3"/>
    </row>
    <row r="77" spans="1:20" s="4" customFormat="1" ht="14.4">
      <c r="A77" s="56" t="s">
        <v>124</v>
      </c>
      <c r="B77" s="117">
        <v>74.666667000000004</v>
      </c>
      <c r="C77" s="117">
        <v>75.583332999999996</v>
      </c>
      <c r="D77" s="117">
        <v>77.166667000000004</v>
      </c>
      <c r="E77" s="117">
        <v>17</v>
      </c>
      <c r="F77" s="117">
        <v>27.833333</v>
      </c>
      <c r="G77" s="117">
        <v>32.666666999999997</v>
      </c>
      <c r="H77" s="112">
        <v>3.6666669999999999</v>
      </c>
      <c r="I77" s="112">
        <v>5.3333329999999997</v>
      </c>
      <c r="J77" s="112">
        <v>4.5833329999999997</v>
      </c>
      <c r="K77" s="112">
        <v>16.583333</v>
      </c>
      <c r="L77" s="112">
        <v>20.416667</v>
      </c>
      <c r="M77" s="118">
        <v>14.75</v>
      </c>
      <c r="N77" s="3"/>
      <c r="O77" s="3"/>
    </row>
    <row r="78" spans="1:20" s="4" customFormat="1" ht="14.4">
      <c r="A78" s="56" t="s">
        <v>125</v>
      </c>
      <c r="B78" s="117">
        <v>86.75</v>
      </c>
      <c r="C78" s="117">
        <v>82.666667000000004</v>
      </c>
      <c r="D78" s="117">
        <v>77.75</v>
      </c>
      <c r="E78" s="117">
        <v>29.5</v>
      </c>
      <c r="F78" s="117">
        <v>35.083333000000003</v>
      </c>
      <c r="G78" s="117">
        <v>40.75</v>
      </c>
      <c r="H78" s="112">
        <v>2.6666669999999999</v>
      </c>
      <c r="I78" s="112">
        <v>4.0833329999999997</v>
      </c>
      <c r="J78" s="112">
        <v>5.3333329999999997</v>
      </c>
      <c r="K78" s="112">
        <v>22.666667</v>
      </c>
      <c r="L78" s="112">
        <v>15.5</v>
      </c>
      <c r="M78" s="118">
        <v>10.333333</v>
      </c>
      <c r="N78" s="3"/>
      <c r="O78" s="3"/>
    </row>
    <row r="79" spans="1:20" s="4" customFormat="1" ht="14.4">
      <c r="A79" s="56" t="s">
        <v>126</v>
      </c>
      <c r="B79" s="117">
        <v>95.5</v>
      </c>
      <c r="C79" s="117">
        <v>92.5</v>
      </c>
      <c r="D79" s="117">
        <v>91.833332999999996</v>
      </c>
      <c r="E79" s="117">
        <v>28.166667</v>
      </c>
      <c r="F79" s="117">
        <v>44.583333000000003</v>
      </c>
      <c r="G79" s="117">
        <v>50</v>
      </c>
      <c r="H79" s="112">
        <v>26.75</v>
      </c>
      <c r="I79" s="112">
        <v>26.666667</v>
      </c>
      <c r="J79" s="112">
        <v>27</v>
      </c>
      <c r="K79" s="112">
        <v>47.5</v>
      </c>
      <c r="L79" s="112">
        <v>32.25</v>
      </c>
      <c r="M79" s="118">
        <v>29.666667</v>
      </c>
      <c r="N79" s="3"/>
      <c r="O79" s="3"/>
    </row>
    <row r="80" spans="1:20" s="4" customFormat="1" ht="14.4">
      <c r="A80" s="56" t="s">
        <v>127</v>
      </c>
      <c r="B80" s="117">
        <v>91.583332999999996</v>
      </c>
      <c r="C80" s="117">
        <v>87.916667000000004</v>
      </c>
      <c r="D80" s="117">
        <v>86.666667000000004</v>
      </c>
      <c r="E80" s="117">
        <v>29.25</v>
      </c>
      <c r="F80" s="117">
        <v>42.083333000000003</v>
      </c>
      <c r="G80" s="117">
        <v>50.916666999999997</v>
      </c>
      <c r="H80" s="112">
        <v>33.083333000000003</v>
      </c>
      <c r="I80" s="112">
        <v>30.25</v>
      </c>
      <c r="J80" s="112">
        <v>27.083333</v>
      </c>
      <c r="K80" s="112">
        <v>20.416667</v>
      </c>
      <c r="L80" s="112">
        <v>15.75</v>
      </c>
      <c r="M80" s="118">
        <v>12.75</v>
      </c>
      <c r="N80" s="3"/>
      <c r="O80" s="3"/>
    </row>
    <row r="81" spans="1:20" s="4" customFormat="1" ht="14.4">
      <c r="A81" s="56" t="s">
        <v>128</v>
      </c>
      <c r="B81" s="117">
        <v>88.666667000000004</v>
      </c>
      <c r="C81" s="117">
        <v>86.5</v>
      </c>
      <c r="D81" s="117">
        <v>83.5</v>
      </c>
      <c r="E81" s="117">
        <v>53.5</v>
      </c>
      <c r="F81" s="117">
        <v>61.75</v>
      </c>
      <c r="G81" s="117">
        <v>64.916667000000004</v>
      </c>
      <c r="H81" s="112">
        <v>17</v>
      </c>
      <c r="I81" s="112">
        <v>18.166667</v>
      </c>
      <c r="J81" s="112">
        <v>19.5</v>
      </c>
      <c r="K81" s="112">
        <v>34.583333000000003</v>
      </c>
      <c r="L81" s="112">
        <v>28.083333</v>
      </c>
      <c r="M81" s="118">
        <v>22.666667</v>
      </c>
      <c r="N81" s="3"/>
      <c r="O81" s="3"/>
    </row>
    <row r="82" spans="1:20" s="4" customFormat="1" ht="14.4">
      <c r="A82" s="56" t="s">
        <v>129</v>
      </c>
      <c r="B82" s="117">
        <v>77.333332999999996</v>
      </c>
      <c r="C82" s="117">
        <v>75.416667000000004</v>
      </c>
      <c r="D82" s="117">
        <v>75.416667000000004</v>
      </c>
      <c r="E82" s="117">
        <v>35.666666999999997</v>
      </c>
      <c r="F82" s="117">
        <v>46.166666999999997</v>
      </c>
      <c r="G82" s="117">
        <v>52.833333000000003</v>
      </c>
      <c r="H82" s="112">
        <v>40.916666999999997</v>
      </c>
      <c r="I82" s="112">
        <v>39.333333000000003</v>
      </c>
      <c r="J82" s="112">
        <v>33.333333000000003</v>
      </c>
      <c r="K82" s="112">
        <v>48.833333000000003</v>
      </c>
      <c r="L82" s="112">
        <v>38.833333000000003</v>
      </c>
      <c r="M82" s="118">
        <v>36.666666999999997</v>
      </c>
      <c r="N82" s="3"/>
      <c r="O82" s="3"/>
    </row>
    <row r="83" spans="1:20" s="4" customFormat="1" ht="14.4">
      <c r="A83" s="175" t="s">
        <v>130</v>
      </c>
      <c r="B83" s="117">
        <v>70.416667000000004</v>
      </c>
      <c r="C83" s="117">
        <v>65.583332999999996</v>
      </c>
      <c r="D83" s="117">
        <v>64.5</v>
      </c>
      <c r="E83" s="117">
        <v>8.5833329999999997</v>
      </c>
      <c r="F83" s="117">
        <v>10.666667</v>
      </c>
      <c r="G83" s="117">
        <v>6.4166670000000003</v>
      </c>
      <c r="H83" s="112">
        <v>11.416667</v>
      </c>
      <c r="I83" s="112">
        <v>4.75</v>
      </c>
      <c r="J83" s="112">
        <v>4.5833329999999997</v>
      </c>
      <c r="K83" s="112">
        <v>26.75</v>
      </c>
      <c r="L83" s="112">
        <v>22.5</v>
      </c>
      <c r="M83" s="118">
        <v>22.666667</v>
      </c>
      <c r="N83" s="3"/>
      <c r="O83" s="3"/>
      <c r="P83" s="6"/>
      <c r="Q83" s="15"/>
      <c r="R83" s="16"/>
      <c r="S83" s="16"/>
      <c r="T83" s="16"/>
    </row>
    <row r="84" spans="1:20" s="4" customFormat="1">
      <c r="A84" s="175" t="s">
        <v>131</v>
      </c>
      <c r="B84" s="117">
        <v>66.166667000000004</v>
      </c>
      <c r="C84" s="117">
        <v>65.583332999999996</v>
      </c>
      <c r="D84" s="117">
        <v>65.083332999999996</v>
      </c>
      <c r="E84" s="117">
        <v>7.3333329999999997</v>
      </c>
      <c r="F84" s="117">
        <v>11.333333</v>
      </c>
      <c r="G84" s="117">
        <v>17.083333</v>
      </c>
      <c r="H84" s="112">
        <v>2.3333330000000001</v>
      </c>
      <c r="I84" s="112">
        <v>2.1666669999999999</v>
      </c>
      <c r="J84" s="112">
        <v>3.25</v>
      </c>
      <c r="K84" s="112">
        <v>14.833333</v>
      </c>
      <c r="L84" s="112">
        <v>11.666667</v>
      </c>
      <c r="M84" s="118">
        <v>11.25</v>
      </c>
    </row>
    <row r="85" spans="1:20" s="4" customFormat="1">
      <c r="A85" s="175" t="s">
        <v>132</v>
      </c>
      <c r="B85" s="117">
        <v>67.5</v>
      </c>
      <c r="C85" s="117">
        <v>65.583332999999996</v>
      </c>
      <c r="D85" s="117">
        <v>66.166667000000004</v>
      </c>
      <c r="E85" s="117">
        <v>6</v>
      </c>
      <c r="F85" s="117">
        <v>10.166667</v>
      </c>
      <c r="G85" s="117">
        <v>14.5</v>
      </c>
      <c r="H85" s="112">
        <v>0.66666700000000001</v>
      </c>
      <c r="I85" s="112">
        <v>1.8333330000000001</v>
      </c>
      <c r="J85" s="112">
        <v>3.0833330000000001</v>
      </c>
      <c r="K85" s="112">
        <v>31.083333</v>
      </c>
      <c r="L85" s="112">
        <v>27.833333</v>
      </c>
      <c r="M85" s="118">
        <v>27.916667</v>
      </c>
    </row>
    <row r="86" spans="1:20" s="4" customFormat="1">
      <c r="A86" s="175" t="s">
        <v>133</v>
      </c>
      <c r="B86" s="117">
        <v>80</v>
      </c>
      <c r="C86" s="117">
        <v>77.916667000000004</v>
      </c>
      <c r="D86" s="117">
        <v>76.583332999999996</v>
      </c>
      <c r="E86" s="117">
        <v>4</v>
      </c>
      <c r="F86" s="117">
        <v>7.9166670000000003</v>
      </c>
      <c r="G86" s="117">
        <v>13.75</v>
      </c>
      <c r="H86" s="112">
        <v>9.5</v>
      </c>
      <c r="I86" s="112">
        <v>10</v>
      </c>
      <c r="J86" s="112">
        <v>13.583333</v>
      </c>
      <c r="K86" s="112">
        <v>46.833333000000003</v>
      </c>
      <c r="L86" s="112">
        <v>43</v>
      </c>
      <c r="M86" s="118">
        <v>47.333333000000003</v>
      </c>
    </row>
    <row r="87" spans="1:20" s="4" customFormat="1">
      <c r="A87" s="175" t="s">
        <v>134</v>
      </c>
      <c r="B87" s="117">
        <v>80.5</v>
      </c>
      <c r="C87" s="117">
        <v>80.416667000000004</v>
      </c>
      <c r="D87" s="117">
        <v>80.333332999999996</v>
      </c>
      <c r="E87" s="117">
        <v>8.3333329999999997</v>
      </c>
      <c r="F87" s="117">
        <v>11.416667</v>
      </c>
      <c r="G87" s="117">
        <v>16.75</v>
      </c>
      <c r="H87" s="112">
        <v>7.6666670000000003</v>
      </c>
      <c r="I87" s="112">
        <v>7.1666670000000003</v>
      </c>
      <c r="J87" s="112">
        <v>7.8333329999999997</v>
      </c>
      <c r="K87" s="112">
        <v>31.5</v>
      </c>
      <c r="L87" s="112">
        <v>30.166667</v>
      </c>
      <c r="M87" s="118">
        <v>28.916667</v>
      </c>
    </row>
    <row r="88" spans="1:20" s="4" customFormat="1">
      <c r="A88" s="175" t="s">
        <v>135</v>
      </c>
      <c r="B88" s="117">
        <v>79.416667000000004</v>
      </c>
      <c r="C88" s="117">
        <v>79.583332999999996</v>
      </c>
      <c r="D88" s="117">
        <v>80.583332999999996</v>
      </c>
      <c r="E88" s="117">
        <v>24.5</v>
      </c>
      <c r="F88" s="117">
        <v>30.333333</v>
      </c>
      <c r="G88" s="117">
        <v>36.25</v>
      </c>
      <c r="H88" s="112">
        <v>8.6666670000000003</v>
      </c>
      <c r="I88" s="112">
        <v>8.9166670000000003</v>
      </c>
      <c r="J88" s="112">
        <v>10.083333</v>
      </c>
      <c r="K88" s="112">
        <v>37.833333000000003</v>
      </c>
      <c r="L88" s="112">
        <v>39.5</v>
      </c>
      <c r="M88" s="118">
        <v>39.583333000000003</v>
      </c>
    </row>
    <row r="89" spans="1:20" s="4" customFormat="1" ht="13.8" thickBot="1">
      <c r="A89" s="176" t="s">
        <v>136</v>
      </c>
      <c r="B89" s="119">
        <v>79.416667000000004</v>
      </c>
      <c r="C89" s="119">
        <v>76.333332999999996</v>
      </c>
      <c r="D89" s="119">
        <v>76.833332999999996</v>
      </c>
      <c r="E89" s="119">
        <v>37.083333000000003</v>
      </c>
      <c r="F89" s="119">
        <v>41.25</v>
      </c>
      <c r="G89" s="119">
        <v>42.333333000000003</v>
      </c>
      <c r="H89" s="115">
        <v>34.416666999999997</v>
      </c>
      <c r="I89" s="115">
        <v>27.5</v>
      </c>
      <c r="J89" s="115">
        <v>24.416667</v>
      </c>
      <c r="K89" s="115">
        <v>70</v>
      </c>
      <c r="L89" s="115">
        <v>68.416667000000004</v>
      </c>
      <c r="M89" s="116">
        <v>68.166667000000004</v>
      </c>
    </row>
    <row r="90" spans="1:20" s="4" customFormat="1" ht="15" thickBot="1">
      <c r="A90" s="3"/>
      <c r="B90" s="3"/>
      <c r="C90" s="3"/>
      <c r="D90" s="3"/>
      <c r="E90" s="3"/>
      <c r="F90" s="3"/>
      <c r="G90" s="3"/>
      <c r="H90" s="3"/>
      <c r="I90" s="3"/>
      <c r="J90" s="3"/>
      <c r="K90" s="3"/>
      <c r="L90" s="3"/>
      <c r="M90" s="3"/>
    </row>
    <row r="91" spans="1:20" s="4" customFormat="1" ht="14.4">
      <c r="A91" s="189" t="s">
        <v>20</v>
      </c>
      <c r="B91" s="190"/>
      <c r="C91" s="190"/>
      <c r="D91" s="190"/>
      <c r="E91" s="191"/>
      <c r="F91" s="3"/>
      <c r="G91" s="3"/>
      <c r="H91" s="3"/>
      <c r="I91" s="3"/>
      <c r="J91" s="3"/>
      <c r="K91" s="3"/>
      <c r="L91" s="3"/>
      <c r="M91" s="3"/>
    </row>
    <row r="92" spans="1:20" s="4" customFormat="1" ht="15" thickBot="1">
      <c r="A92" s="139" t="s">
        <v>138</v>
      </c>
      <c r="B92" s="129" t="s">
        <v>165</v>
      </c>
      <c r="C92" s="129" t="s">
        <v>41</v>
      </c>
      <c r="D92" s="129" t="s">
        <v>39</v>
      </c>
      <c r="E92" s="140" t="s">
        <v>35</v>
      </c>
      <c r="F92" s="3"/>
      <c r="G92" s="3"/>
      <c r="H92" s="3"/>
      <c r="I92" s="3"/>
      <c r="J92" s="3"/>
      <c r="K92" s="3"/>
      <c r="L92" s="3"/>
      <c r="M92" s="3"/>
    </row>
    <row r="93" spans="1:20" s="4" customFormat="1" ht="14.4">
      <c r="A93" s="137" t="s">
        <v>116</v>
      </c>
      <c r="B93" s="138" t="s">
        <v>157</v>
      </c>
      <c r="C93" s="125">
        <v>14.083333</v>
      </c>
      <c r="D93" s="125">
        <v>15</v>
      </c>
      <c r="E93" s="126">
        <v>14.083333</v>
      </c>
      <c r="F93" s="3"/>
      <c r="G93" s="3"/>
      <c r="H93" s="3"/>
      <c r="I93" s="3"/>
      <c r="J93" s="3"/>
      <c r="K93" s="3"/>
      <c r="L93" s="3"/>
      <c r="M93" s="3"/>
    </row>
    <row r="94" spans="1:20" s="4" customFormat="1" ht="14.4">
      <c r="A94" s="134" t="s">
        <v>119</v>
      </c>
      <c r="B94" s="132" t="s">
        <v>157</v>
      </c>
      <c r="C94" s="112">
        <v>0</v>
      </c>
      <c r="D94" s="112">
        <v>0.66666700000000001</v>
      </c>
      <c r="E94" s="118">
        <v>3.0833330000000001</v>
      </c>
      <c r="F94" s="3"/>
      <c r="G94" s="3"/>
      <c r="H94" s="3"/>
      <c r="I94" s="3"/>
      <c r="J94" s="3"/>
      <c r="K94" s="3"/>
      <c r="L94" s="3"/>
      <c r="M94" s="3"/>
    </row>
    <row r="95" spans="1:20" s="4" customFormat="1" ht="14.4">
      <c r="A95" s="133" t="s">
        <v>117</v>
      </c>
      <c r="B95" s="132" t="s">
        <v>157</v>
      </c>
      <c r="C95" s="112">
        <v>20.666667</v>
      </c>
      <c r="D95" s="112">
        <v>29.166667</v>
      </c>
      <c r="E95" s="118">
        <v>32.916666999999997</v>
      </c>
      <c r="F95" s="3"/>
      <c r="G95" s="3"/>
      <c r="H95" s="3"/>
      <c r="I95" s="3"/>
      <c r="J95" s="3"/>
      <c r="K95" s="3"/>
      <c r="L95" s="3"/>
      <c r="M95" s="3"/>
    </row>
    <row r="96" spans="1:20" s="4" customFormat="1" ht="14.4">
      <c r="A96" s="134" t="s">
        <v>118</v>
      </c>
      <c r="B96" s="132" t="s">
        <v>157</v>
      </c>
      <c r="C96" s="112">
        <v>4</v>
      </c>
      <c r="D96" s="112">
        <v>9.4166670000000003</v>
      </c>
      <c r="E96" s="118">
        <v>10.333333</v>
      </c>
      <c r="F96" s="3"/>
      <c r="G96" s="3"/>
      <c r="H96" s="3"/>
      <c r="I96" s="3"/>
      <c r="J96" s="3"/>
      <c r="K96" s="3"/>
      <c r="L96" s="3"/>
      <c r="M96" s="3"/>
    </row>
    <row r="97" spans="1:13" s="4" customFormat="1" ht="14.4">
      <c r="A97" s="133" t="s">
        <v>116</v>
      </c>
      <c r="B97" s="132" t="s">
        <v>155</v>
      </c>
      <c r="C97" s="112">
        <v>26.083333</v>
      </c>
      <c r="D97" s="112">
        <v>29.166667</v>
      </c>
      <c r="E97" s="118">
        <v>31</v>
      </c>
      <c r="F97" s="3"/>
      <c r="G97" s="3"/>
      <c r="H97" s="3"/>
      <c r="I97" s="3"/>
      <c r="J97" s="3"/>
      <c r="K97" s="3"/>
      <c r="L97" s="3"/>
      <c r="M97" s="3"/>
    </row>
    <row r="98" spans="1:13" s="4" customFormat="1" ht="14.4">
      <c r="A98" s="133" t="s">
        <v>119</v>
      </c>
      <c r="B98" s="132" t="s">
        <v>155</v>
      </c>
      <c r="C98" s="112">
        <v>0.58333299999999999</v>
      </c>
      <c r="D98" s="112">
        <v>1</v>
      </c>
      <c r="E98" s="118">
        <v>0.58333299999999999</v>
      </c>
      <c r="F98" s="3"/>
      <c r="G98" s="3"/>
      <c r="H98" s="3"/>
      <c r="I98" s="3"/>
      <c r="J98" s="3"/>
      <c r="K98" s="3"/>
      <c r="L98" s="3"/>
      <c r="M98" s="3"/>
    </row>
    <row r="99" spans="1:13" s="4" customFormat="1" ht="14.4">
      <c r="A99" s="133" t="s">
        <v>117</v>
      </c>
      <c r="B99" s="132" t="s">
        <v>155</v>
      </c>
      <c r="C99" s="112">
        <v>81.666667000000004</v>
      </c>
      <c r="D99" s="112">
        <v>80</v>
      </c>
      <c r="E99" s="118">
        <v>77.333332999999996</v>
      </c>
      <c r="F99" s="3"/>
      <c r="G99" s="3"/>
      <c r="H99" s="3"/>
      <c r="I99" s="3"/>
      <c r="J99" s="3"/>
      <c r="K99" s="3"/>
      <c r="L99" s="3"/>
      <c r="M99" s="3"/>
    </row>
    <row r="100" spans="1:13" s="4" customFormat="1" ht="15" thickBot="1">
      <c r="A100" s="135" t="s">
        <v>118</v>
      </c>
      <c r="B100" s="136" t="s">
        <v>155</v>
      </c>
      <c r="C100" s="115">
        <v>8.4</v>
      </c>
      <c r="D100" s="115">
        <v>18.083333</v>
      </c>
      <c r="E100" s="116">
        <v>19.166667</v>
      </c>
      <c r="F100" s="3"/>
      <c r="G100" s="3"/>
      <c r="H100" s="3"/>
      <c r="I100" s="3"/>
      <c r="J100" s="3"/>
      <c r="K100" s="3"/>
      <c r="L100" s="3"/>
      <c r="M100" s="3"/>
    </row>
    <row r="101" spans="1:13" s="4" customFormat="1"/>
    <row r="102" spans="1:13" s="4" customFormat="1"/>
    <row r="103" spans="1:13" s="4" customFormat="1" ht="15" thickBot="1">
      <c r="A103" s="141" t="s">
        <v>166</v>
      </c>
      <c r="D103" s="3"/>
      <c r="E103" s="3"/>
      <c r="F103" s="3"/>
      <c r="G103" s="141" t="s">
        <v>167</v>
      </c>
      <c r="I103" s="3"/>
      <c r="J103" s="3"/>
      <c r="K103" s="3"/>
    </row>
    <row r="104" spans="1:13" s="4" customFormat="1" ht="21" thickBot="1">
      <c r="A104" s="142" t="s">
        <v>93</v>
      </c>
      <c r="B104" s="142" t="s">
        <v>93</v>
      </c>
      <c r="C104" s="143" t="s">
        <v>41</v>
      </c>
      <c r="D104" s="144" t="s">
        <v>39</v>
      </c>
      <c r="E104" s="144" t="s">
        <v>35</v>
      </c>
      <c r="F104" s="3"/>
      <c r="G104" s="162" t="s">
        <v>168</v>
      </c>
      <c r="H104" s="163" t="s">
        <v>116</v>
      </c>
      <c r="I104" s="163" t="s">
        <v>117</v>
      </c>
      <c r="J104" s="163" t="s">
        <v>118</v>
      </c>
      <c r="K104" s="164" t="s">
        <v>119</v>
      </c>
    </row>
    <row r="105" spans="1:13" s="4" customFormat="1" ht="14.4">
      <c r="A105" s="206" t="s">
        <v>169</v>
      </c>
      <c r="B105" s="207"/>
      <c r="C105" s="151">
        <v>100</v>
      </c>
      <c r="D105" s="151">
        <v>100</v>
      </c>
      <c r="E105" s="152">
        <v>100</v>
      </c>
      <c r="F105" s="3"/>
      <c r="G105" s="159" t="s">
        <v>164</v>
      </c>
      <c r="H105" s="151"/>
      <c r="I105" s="151">
        <v>4712.1099999999997</v>
      </c>
      <c r="J105" s="151">
        <v>3130.1833329999999</v>
      </c>
      <c r="K105" s="152"/>
    </row>
    <row r="106" spans="1:13" s="4" customFormat="1" ht="14.4">
      <c r="A106" s="208" t="s">
        <v>170</v>
      </c>
      <c r="B106" s="209"/>
      <c r="C106" s="145">
        <v>95.628068999999996</v>
      </c>
      <c r="D106" s="145">
        <v>97.275435000000002</v>
      </c>
      <c r="E106" s="153">
        <v>97.868279999999999</v>
      </c>
      <c r="F106" s="3"/>
      <c r="G106" s="160" t="s">
        <v>140</v>
      </c>
      <c r="H106" s="19"/>
      <c r="I106" s="19">
        <v>5017.2216669999998</v>
      </c>
      <c r="J106" s="19">
        <v>3250</v>
      </c>
      <c r="K106" s="91"/>
    </row>
    <row r="107" spans="1:13" s="4" customFormat="1" ht="14.4">
      <c r="A107" s="154"/>
      <c r="B107" s="147" t="s">
        <v>171</v>
      </c>
      <c r="C107" s="148" t="s">
        <v>142</v>
      </c>
      <c r="D107" s="19">
        <v>107.915549</v>
      </c>
      <c r="E107" s="91">
        <v>106.85771699999999</v>
      </c>
      <c r="F107" s="3"/>
      <c r="G107" s="160">
        <v>250</v>
      </c>
      <c r="H107" s="19"/>
      <c r="I107" s="19"/>
      <c r="J107" s="19">
        <v>5400</v>
      </c>
      <c r="K107" s="91">
        <v>8302.518333</v>
      </c>
    </row>
    <row r="108" spans="1:13" s="4" customFormat="1" ht="14.4">
      <c r="A108" s="154"/>
      <c r="B108" s="147" t="s">
        <v>172</v>
      </c>
      <c r="C108" s="19">
        <v>95.602339000000001</v>
      </c>
      <c r="D108" s="19">
        <v>96.601535999999996</v>
      </c>
      <c r="E108" s="91">
        <v>96.637731000000002</v>
      </c>
      <c r="F108" s="3"/>
      <c r="G108" s="160" t="s">
        <v>155</v>
      </c>
      <c r="H108" s="19">
        <v>16289.233333</v>
      </c>
      <c r="I108" s="19">
        <v>16940.397499999999</v>
      </c>
      <c r="J108" s="19">
        <v>15988.17</v>
      </c>
      <c r="K108" s="91">
        <v>12914.521667000001</v>
      </c>
    </row>
    <row r="109" spans="1:13" s="4" customFormat="1" ht="14.4">
      <c r="A109" s="210" t="s">
        <v>173</v>
      </c>
      <c r="B109" s="211"/>
      <c r="C109" s="149">
        <v>107.984987</v>
      </c>
      <c r="D109" s="149">
        <v>107.240409</v>
      </c>
      <c r="E109" s="155">
        <v>106.22957</v>
      </c>
      <c r="F109" s="3"/>
      <c r="G109" s="160" t="s">
        <v>163</v>
      </c>
      <c r="H109" s="19">
        <v>32406.069167000001</v>
      </c>
      <c r="I109" s="19">
        <v>33584.560833000003</v>
      </c>
      <c r="J109" s="19">
        <v>31120.35</v>
      </c>
      <c r="K109" s="91">
        <v>24649.066666999999</v>
      </c>
    </row>
    <row r="110" spans="1:13" s="4" customFormat="1" ht="14.4">
      <c r="A110" s="175" t="s">
        <v>93</v>
      </c>
      <c r="B110" s="150" t="s">
        <v>174</v>
      </c>
      <c r="C110" s="19"/>
      <c r="D110" s="19"/>
      <c r="E110" s="91">
        <v>134.66880599999999</v>
      </c>
      <c r="F110" s="3"/>
      <c r="G110" s="160" t="s">
        <v>144</v>
      </c>
      <c r="H110" s="19"/>
      <c r="I110" s="19">
        <v>49353.78</v>
      </c>
      <c r="J110" s="19">
        <v>33637.964166999998</v>
      </c>
      <c r="K110" s="91"/>
    </row>
    <row r="111" spans="1:13" s="4" customFormat="1" ht="14.4">
      <c r="A111" s="175" t="s">
        <v>93</v>
      </c>
      <c r="B111" s="150" t="s">
        <v>175</v>
      </c>
      <c r="C111" s="19">
        <v>146.01951800000001</v>
      </c>
      <c r="D111" s="19">
        <v>139.41099299999999</v>
      </c>
      <c r="E111" s="91">
        <v>135.509297</v>
      </c>
      <c r="F111" s="3"/>
      <c r="G111" s="160">
        <v>1500</v>
      </c>
      <c r="H111" s="19">
        <v>59193.622499999998</v>
      </c>
      <c r="I111" s="19"/>
      <c r="J111" s="19"/>
      <c r="K111" s="91"/>
    </row>
    <row r="112" spans="1:13" s="4" customFormat="1" ht="14.4">
      <c r="A112" s="175" t="s">
        <v>93</v>
      </c>
      <c r="B112" s="150" t="s">
        <v>176</v>
      </c>
      <c r="C112" s="19">
        <v>149.016682</v>
      </c>
      <c r="D112" s="19">
        <v>140.12159500000001</v>
      </c>
      <c r="E112" s="91">
        <v>137.49852300000001</v>
      </c>
      <c r="F112" s="3"/>
      <c r="G112" s="160">
        <v>2200</v>
      </c>
      <c r="H112" s="19"/>
      <c r="I112" s="19"/>
      <c r="J112" s="19">
        <v>57039.904999999999</v>
      </c>
      <c r="K112" s="91">
        <v>61189.543333000001</v>
      </c>
    </row>
    <row r="113" spans="1:11" s="4" customFormat="1" ht="14.4">
      <c r="A113" s="156"/>
      <c r="B113" s="147" t="s">
        <v>177</v>
      </c>
      <c r="C113" s="19">
        <v>104.737897</v>
      </c>
      <c r="D113" s="19">
        <v>103.674362</v>
      </c>
      <c r="E113" s="91">
        <v>102.027102</v>
      </c>
      <c r="F113" s="3"/>
      <c r="G113" s="160" t="s">
        <v>152</v>
      </c>
      <c r="H113" s="19">
        <v>110306.106667</v>
      </c>
      <c r="I113" s="19">
        <v>113391.53</v>
      </c>
      <c r="J113" s="19">
        <v>103208.81666700001</v>
      </c>
      <c r="K113" s="91"/>
    </row>
    <row r="114" spans="1:11" s="4" customFormat="1" ht="14.4">
      <c r="A114" s="156"/>
      <c r="B114" s="147" t="s">
        <v>178</v>
      </c>
      <c r="C114" s="19">
        <v>106.554303</v>
      </c>
      <c r="D114" s="19">
        <v>108.489704</v>
      </c>
      <c r="E114" s="91">
        <v>107.951815</v>
      </c>
      <c r="F114" s="3"/>
      <c r="G114" s="160" t="s">
        <v>157</v>
      </c>
      <c r="H114" s="19">
        <v>159171.719167</v>
      </c>
      <c r="I114" s="19">
        <v>167554.538333</v>
      </c>
      <c r="J114" s="19">
        <v>161132.10999999999</v>
      </c>
      <c r="K114" s="91">
        <v>125470.745</v>
      </c>
    </row>
    <row r="115" spans="1:11" s="4" customFormat="1" ht="15" thickBot="1">
      <c r="A115" s="156"/>
      <c r="B115" s="147" t="s">
        <v>179</v>
      </c>
      <c r="C115" s="19"/>
      <c r="D115" s="19"/>
      <c r="E115" s="91">
        <v>111.33960500000001</v>
      </c>
      <c r="F115" s="3"/>
      <c r="G115" s="161" t="s">
        <v>161</v>
      </c>
      <c r="H115" s="93">
        <v>205151.78</v>
      </c>
      <c r="I115" s="93">
        <v>207194.44500000001</v>
      </c>
      <c r="J115" s="93">
        <v>152391.25750000001</v>
      </c>
      <c r="K115" s="94">
        <v>155230.38916699999</v>
      </c>
    </row>
    <row r="116" spans="1:11" s="4" customFormat="1" ht="14.4">
      <c r="A116" s="154" t="s">
        <v>118</v>
      </c>
      <c r="B116" s="146"/>
      <c r="C116" s="19">
        <v>70.805890000000005</v>
      </c>
      <c r="D116" s="19">
        <v>74.035269999999997</v>
      </c>
      <c r="E116" s="91">
        <v>76.164696000000006</v>
      </c>
      <c r="F116" s="3"/>
      <c r="G116" s="3"/>
      <c r="H116" s="3"/>
      <c r="I116" s="3"/>
      <c r="J116" s="3"/>
      <c r="K116" s="3"/>
    </row>
    <row r="117" spans="1:11" s="4" customFormat="1" ht="14.4">
      <c r="A117" s="154" t="s">
        <v>119</v>
      </c>
      <c r="B117" s="146"/>
      <c r="C117" s="19">
        <v>78.536360000000002</v>
      </c>
      <c r="D117" s="19">
        <v>78.632256999999996</v>
      </c>
      <c r="E117" s="91">
        <v>77.247657000000004</v>
      </c>
      <c r="F117" s="3"/>
      <c r="G117" s="3"/>
      <c r="H117" s="3"/>
      <c r="I117" s="3"/>
      <c r="J117" s="3"/>
      <c r="K117" s="3"/>
    </row>
    <row r="118" spans="1:11" s="4" customFormat="1" ht="15" thickBot="1">
      <c r="A118" s="157" t="s">
        <v>120</v>
      </c>
      <c r="B118" s="158"/>
      <c r="C118" s="93">
        <v>168.39711600000001</v>
      </c>
      <c r="D118" s="93">
        <v>146.977148</v>
      </c>
      <c r="E118" s="94">
        <v>131.759433</v>
      </c>
      <c r="F118" s="221"/>
      <c r="G118" s="3"/>
      <c r="H118" s="3"/>
      <c r="I118" s="3"/>
      <c r="J118" s="3"/>
      <c r="K118" s="3"/>
    </row>
    <row r="119" spans="1:11" s="4" customFormat="1">
      <c r="F119" s="221"/>
    </row>
    <row r="120" spans="1:11" s="4" customFormat="1">
      <c r="G120" s="219"/>
      <c r="H120" s="222"/>
      <c r="I120" s="222"/>
      <c r="J120" s="222"/>
      <c r="K120" s="222"/>
    </row>
    <row r="121" spans="1:11" s="4" customFormat="1">
      <c r="F121" s="221"/>
    </row>
    <row r="122" spans="1:11" s="4" customFormat="1">
      <c r="H122" s="222"/>
      <c r="I122" s="222"/>
      <c r="J122" s="222"/>
      <c r="K122" s="222"/>
    </row>
    <row r="123" spans="1:11" s="4" customFormat="1"/>
    <row r="124" spans="1:11" s="4" customFormat="1"/>
    <row r="125" spans="1:11" s="4" customFormat="1"/>
    <row r="126" spans="1:11" s="4" customFormat="1"/>
    <row r="127" spans="1:11" s="4" customFormat="1"/>
    <row r="128" spans="1:11" s="4" customFormat="1"/>
    <row r="129" s="4" customFormat="1"/>
    <row r="130" s="4" customFormat="1"/>
    <row r="131" s="4" customFormat="1"/>
    <row r="132" s="4" customFormat="1"/>
    <row r="133" s="4" customFormat="1"/>
    <row r="134" s="4" customFormat="1"/>
  </sheetData>
  <mergeCells count="19">
    <mergeCell ref="A105:B105"/>
    <mergeCell ref="A106:B106"/>
    <mergeCell ref="A109:B109"/>
    <mergeCell ref="B74:D74"/>
    <mergeCell ref="E74:G74"/>
    <mergeCell ref="H74:J74"/>
    <mergeCell ref="K74:M74"/>
    <mergeCell ref="A91:E91"/>
    <mergeCell ref="A56:T56"/>
    <mergeCell ref="A5:A11"/>
    <mergeCell ref="O38:Q38"/>
    <mergeCell ref="B38:D38"/>
    <mergeCell ref="E38:G38"/>
    <mergeCell ref="A26:A30"/>
    <mergeCell ref="A31:A35"/>
    <mergeCell ref="A16:A20"/>
    <mergeCell ref="A21:A25"/>
    <mergeCell ref="K38:M38"/>
    <mergeCell ref="H38:J38"/>
  </mergeCells>
  <pageMargins left="0.75" right="0.75" top="1" bottom="1" header="0.5" footer="0.5"/>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8"/>
  <sheetViews>
    <sheetView topLeftCell="A19" workbookViewId="0">
      <selection activeCell="P2" sqref="P2:S8"/>
    </sheetView>
  </sheetViews>
  <sheetFormatPr defaultColWidth="8.88671875" defaultRowHeight="14.4"/>
  <cols>
    <col min="1" max="1" width="26.21875" style="9" customWidth="1"/>
    <col min="2" max="2" width="11.21875" style="9" customWidth="1"/>
    <col min="3" max="3" width="11.77734375" style="9" customWidth="1"/>
    <col min="4" max="4" width="9.44140625" style="9" customWidth="1"/>
    <col min="5" max="5" width="10.21875" style="9" customWidth="1"/>
    <col min="6" max="6" width="10.88671875" style="9" customWidth="1"/>
    <col min="7" max="7" width="10.109375" style="9" customWidth="1"/>
    <col min="8" max="8" width="14" style="9" customWidth="1"/>
    <col min="9" max="16384" width="8.88671875" style="9"/>
  </cols>
  <sheetData>
    <row r="1" spans="1:19" ht="15" thickBot="1">
      <c r="A1" s="101" t="s">
        <v>180</v>
      </c>
      <c r="B1" s="104"/>
      <c r="C1" s="104"/>
      <c r="D1" s="104"/>
      <c r="E1" s="104"/>
      <c r="F1" s="104"/>
      <c r="G1" s="105"/>
      <c r="I1" s="106" t="s">
        <v>181</v>
      </c>
    </row>
    <row r="2" spans="1:19" ht="31.2" thickBot="1">
      <c r="A2" s="103"/>
      <c r="B2" s="216" t="s">
        <v>182</v>
      </c>
      <c r="C2" s="216"/>
      <c r="D2" s="216" t="s">
        <v>183</v>
      </c>
      <c r="E2" s="216"/>
      <c r="F2" s="216" t="s">
        <v>184</v>
      </c>
      <c r="G2" s="217"/>
      <c r="P2" s="111"/>
      <c r="Q2" s="169" t="s">
        <v>187</v>
      </c>
      <c r="R2" s="178" t="s">
        <v>188</v>
      </c>
      <c r="S2" s="12"/>
    </row>
    <row r="3" spans="1:19" ht="15" thickBot="1">
      <c r="A3" s="111"/>
      <c r="B3" s="10" t="s">
        <v>185</v>
      </c>
      <c r="C3" s="10" t="s">
        <v>186</v>
      </c>
      <c r="D3" s="10" t="s">
        <v>185</v>
      </c>
      <c r="E3" s="10" t="s">
        <v>186</v>
      </c>
      <c r="F3" s="10" t="s">
        <v>185</v>
      </c>
      <c r="G3" s="102" t="s">
        <v>186</v>
      </c>
      <c r="P3" s="10" t="s">
        <v>185</v>
      </c>
      <c r="Q3" s="113">
        <v>464923.47</v>
      </c>
      <c r="R3" s="115">
        <v>151773.44564637399</v>
      </c>
      <c r="S3" s="8">
        <f>R3/Q3</f>
        <v>0.32644823382733079</v>
      </c>
    </row>
    <row r="4" spans="1:19" ht="15" thickBot="1">
      <c r="A4" s="169" t="s">
        <v>187</v>
      </c>
      <c r="B4" s="113">
        <v>464923.47</v>
      </c>
      <c r="C4" s="113">
        <v>564563.31000000006</v>
      </c>
      <c r="D4" s="113">
        <v>89828.43</v>
      </c>
      <c r="E4" s="113">
        <v>136644.09</v>
      </c>
      <c r="F4" s="113">
        <v>126865.87</v>
      </c>
      <c r="G4" s="114">
        <v>157191.25</v>
      </c>
      <c r="P4" s="10" t="s">
        <v>186</v>
      </c>
      <c r="Q4" s="113">
        <v>564563.31000000006</v>
      </c>
      <c r="R4" s="115">
        <v>321633.40146433684</v>
      </c>
      <c r="S4" s="8">
        <f>R4/Q4</f>
        <v>0.56970298240659101</v>
      </c>
    </row>
    <row r="5" spans="1:19" ht="15" thickBot="1">
      <c r="A5" s="177" t="s">
        <v>188</v>
      </c>
      <c r="B5" s="115">
        <v>151773.44564637399</v>
      </c>
      <c r="C5" s="115">
        <v>321633.40146433684</v>
      </c>
      <c r="D5" s="115">
        <v>42120.345217680173</v>
      </c>
      <c r="E5" s="115">
        <v>91442.266917804911</v>
      </c>
      <c r="F5" s="115">
        <v>72397.723312631104</v>
      </c>
      <c r="G5" s="116">
        <v>115102.72835331947</v>
      </c>
      <c r="P5" s="10" t="s">
        <v>185</v>
      </c>
      <c r="Q5" s="113">
        <v>89828.43</v>
      </c>
      <c r="R5" s="115">
        <v>42120.345217680173</v>
      </c>
      <c r="S5" s="8">
        <f>R5/Q5</f>
        <v>0.46889771108857381</v>
      </c>
    </row>
    <row r="6" spans="1:19" ht="15" thickBot="1">
      <c r="A6" s="12"/>
      <c r="B6" s="8">
        <f>B5/B4</f>
        <v>0.32644823382733079</v>
      </c>
      <c r="C6" s="8">
        <f t="shared" ref="C6:G6" si="0">C5/C4</f>
        <v>0.56970298240659101</v>
      </c>
      <c r="D6" s="8">
        <f t="shared" si="0"/>
        <v>0.46889771108857381</v>
      </c>
      <c r="E6" s="8">
        <f t="shared" si="0"/>
        <v>0.66920030656141005</v>
      </c>
      <c r="F6" s="8">
        <f t="shared" si="0"/>
        <v>0.57066351503860813</v>
      </c>
      <c r="G6" s="8">
        <f t="shared" si="0"/>
        <v>0.7322464090928692</v>
      </c>
      <c r="P6" s="10" t="s">
        <v>186</v>
      </c>
      <c r="Q6" s="113">
        <v>136644.09</v>
      </c>
      <c r="R6" s="115">
        <v>91442.266917804911</v>
      </c>
      <c r="S6" s="8">
        <f>R6/Q6</f>
        <v>0.66920030656141005</v>
      </c>
    </row>
    <row r="7" spans="1:19" ht="15" thickBot="1">
      <c r="P7" s="10" t="s">
        <v>185</v>
      </c>
      <c r="Q7" s="113">
        <v>126865.87</v>
      </c>
      <c r="R7" s="115">
        <v>72397.723312631104</v>
      </c>
      <c r="S7" s="8">
        <f>R7/Q7</f>
        <v>0.57066351503860813</v>
      </c>
    </row>
    <row r="8" spans="1:19" ht="15" thickBot="1">
      <c r="A8" s="106" t="s">
        <v>189</v>
      </c>
      <c r="P8" s="102" t="s">
        <v>186</v>
      </c>
      <c r="Q8" s="114">
        <v>157191.25</v>
      </c>
      <c r="R8" s="116">
        <v>115102.72835331947</v>
      </c>
      <c r="S8" s="8">
        <f>R8/Q8</f>
        <v>0.7322464090928692</v>
      </c>
    </row>
    <row r="9" spans="1:19">
      <c r="B9" s="165" t="s">
        <v>190</v>
      </c>
      <c r="C9" s="165"/>
      <c r="D9" s="165"/>
      <c r="E9" s="165"/>
      <c r="F9" s="165"/>
      <c r="G9" s="165"/>
      <c r="H9" s="165"/>
    </row>
    <row r="10" spans="1:19" ht="28.5" customHeight="1">
      <c r="B10" s="218" t="s">
        <v>191</v>
      </c>
      <c r="C10" s="218"/>
      <c r="D10" s="218"/>
      <c r="E10" s="218"/>
      <c r="F10" s="218"/>
      <c r="G10" s="218"/>
      <c r="H10" s="218"/>
    </row>
    <row r="11" spans="1:19">
      <c r="B11" s="165" t="s">
        <v>192</v>
      </c>
      <c r="C11" s="165"/>
      <c r="D11" s="165"/>
      <c r="E11" s="165"/>
      <c r="F11" s="165"/>
      <c r="G11" s="165"/>
      <c r="H11" s="165"/>
    </row>
    <row r="12" spans="1:19" ht="15" thickBot="1"/>
    <row r="13" spans="1:19" ht="15" customHeight="1">
      <c r="A13" s="213" t="s">
        <v>137</v>
      </c>
      <c r="B13" s="214"/>
      <c r="C13" s="214"/>
      <c r="D13" s="215"/>
      <c r="F13" s="171"/>
    </row>
    <row r="14" spans="1:19" ht="15" thickBot="1">
      <c r="A14" s="107" t="s">
        <v>93</v>
      </c>
      <c r="B14" s="14" t="s">
        <v>41</v>
      </c>
      <c r="C14" s="14" t="s">
        <v>39</v>
      </c>
      <c r="D14" s="108" t="s">
        <v>35</v>
      </c>
    </row>
    <row r="15" spans="1:19" ht="15" thickBot="1">
      <c r="A15" s="170" t="s">
        <v>193</v>
      </c>
      <c r="B15" s="109">
        <v>1.233044</v>
      </c>
      <c r="C15" s="109">
        <v>1.113353</v>
      </c>
      <c r="D15" s="110">
        <v>2.7253250000000002</v>
      </c>
    </row>
    <row r="18" spans="1:1">
      <c r="A18" s="106" t="s">
        <v>194</v>
      </c>
    </row>
  </sheetData>
  <mergeCells count="5">
    <mergeCell ref="A13:D13"/>
    <mergeCell ref="B2:C2"/>
    <mergeCell ref="D2:E2"/>
    <mergeCell ref="F2:G2"/>
    <mergeCell ref="B10:H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019D3487218C42963E01A804DAA39A" ma:contentTypeVersion="2" ma:contentTypeDescription="Create a new document." ma:contentTypeScope="" ma:versionID="e17722110b45b26b24bf4499911f6a7d">
  <xsd:schema xmlns:xsd="http://www.w3.org/2001/XMLSchema" xmlns:xs="http://www.w3.org/2001/XMLSchema" xmlns:p="http://schemas.microsoft.com/office/2006/metadata/properties" xmlns:ns2="87c653a3-8fc5-4b3c-ad3a-ca69c9b02699" targetNamespace="http://schemas.microsoft.com/office/2006/metadata/properties" ma:root="true" ma:fieldsID="e2518f5e06f9023c97e959256fc66725" ns2:_="">
    <xsd:import namespace="87c653a3-8fc5-4b3c-ad3a-ca69c9b02699"/>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653a3-8fc5-4b3c-ad3a-ca69c9b026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B427C7-B673-4AE5-AE7F-1C3182FBEB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653a3-8fc5-4b3c-ad3a-ca69c9b026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F81F9C-A7F6-433D-9065-F5BD172C5059}">
  <ds:schemaRef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documentManagement/types"/>
    <ds:schemaRef ds:uri="http://purl.org/dc/terms/"/>
    <ds:schemaRef ds:uri="87c653a3-8fc5-4b3c-ad3a-ca69c9b0269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2C87E62-C3D9-4807-91C2-78CB34D257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Abbreviation</vt:lpstr>
      <vt:lpstr>Background and Question</vt:lpstr>
      <vt:lpstr>Data Set 1</vt:lpstr>
      <vt:lpstr>Data Set 2</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Levitch, David</dc:creator>
  <cp:lastModifiedBy>Dell</cp:lastModifiedBy>
  <cp:revision/>
  <dcterms:created xsi:type="dcterms:W3CDTF">2016-09-26T08:23:20Z</dcterms:created>
  <dcterms:modified xsi:type="dcterms:W3CDTF">2026-06-10T10:59:45Z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0x0101009F019D3487218C42963E01A804DAA39A</vt:lpwstr>
  </property>
</Properties>
</file>